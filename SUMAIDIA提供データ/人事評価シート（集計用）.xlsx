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defaultThemeVersion="124226"/>
  <mc:AlternateContent xmlns:mc="http://schemas.openxmlformats.org/markup-compatibility/2006">
    <mc:Choice Requires="x15">
      <x15ac:absPath xmlns:x15ac="http://schemas.microsoft.com/office/spreadsheetml/2010/11/ac" url="F:\G-Drive\スマイ\人事・就業関係\賞与\"/>
    </mc:Choice>
  </mc:AlternateContent>
  <bookViews>
    <workbookView xWindow="2805" yWindow="495" windowWidth="42255" windowHeight="24855" tabRatio="883"/>
  </bookViews>
  <sheets>
    <sheet name="集計" sheetId="50" r:id="rId1"/>
    <sheet name="営業" sheetId="41" r:id="rId2"/>
    <sheet name="製造部" sheetId="42" r:id="rId3"/>
    <sheet name="製造部 (MGR)" sheetId="56" r:id="rId4"/>
    <sheet name="事業推進" sheetId="43" r:id="rId5"/>
    <sheet name="制作（デ）" sheetId="44" r:id="rId6"/>
    <sheet name="制作（三）" sheetId="46" r:id="rId7"/>
    <sheet name="制作（外）" sheetId="45" r:id="rId8"/>
    <sheet name="進行管理" sheetId="54" r:id="rId9"/>
    <sheet name="総務" sheetId="47" r:id="rId10"/>
    <sheet name="管理職_TGL" sheetId="40" r:id="rId11"/>
    <sheet name="管理職_YGLH" sheetId="38" r:id="rId12"/>
    <sheet name="管理職_MJ" sheetId="39" r:id="rId13"/>
    <sheet name="管理職_MGLH" sheetId="48" r:id="rId14"/>
    <sheet name="管理職_製造" sheetId="51" r:id="rId15"/>
    <sheet name="管理職_IMGER" sheetId="55" r:id="rId16"/>
    <sheet name="管理職_KGL" sheetId="53" r:id="rId17"/>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7" i="50" l="1"/>
  <c r="AA27" i="50" s="1"/>
  <c r="H22" i="50"/>
  <c r="G22" i="50"/>
  <c r="F22" i="50"/>
  <c r="E22" i="50"/>
  <c r="D22" i="50"/>
  <c r="C22" i="50"/>
  <c r="B22" i="50"/>
  <c r="A22" i="50"/>
  <c r="Z22" i="50"/>
  <c r="AA22" i="50" s="1"/>
  <c r="E35" i="53"/>
  <c r="V3" i="50" l="1"/>
  <c r="D24" i="56"/>
  <c r="D25" i="56" s="1"/>
  <c r="D27" i="56" s="1"/>
  <c r="D32" i="56"/>
  <c r="D18" i="56"/>
  <c r="C18" i="56"/>
  <c r="D10" i="56"/>
  <c r="C10" i="56"/>
  <c r="Z26" i="50"/>
  <c r="AA26" i="50" s="1"/>
  <c r="Z25" i="50"/>
  <c r="AA25" i="50" s="1"/>
  <c r="Z24" i="50"/>
  <c r="AA24" i="50" s="1"/>
  <c r="Z23" i="50"/>
  <c r="AA23" i="50" s="1"/>
  <c r="D19" i="56" l="1"/>
  <c r="D22" i="56" s="1"/>
  <c r="D33" i="56" s="1"/>
  <c r="D35" i="56" s="1"/>
  <c r="D36" i="56" s="1"/>
  <c r="C19" i="56"/>
  <c r="E35" i="55"/>
  <c r="E36" i="55" s="1"/>
  <c r="I35" i="51" l="1"/>
  <c r="E35" i="51"/>
  <c r="G35" i="51"/>
  <c r="J12" i="47" l="1"/>
  <c r="J4" i="47"/>
  <c r="J13" i="47"/>
  <c r="J14" i="47"/>
  <c r="J15" i="47"/>
  <c r="J16" i="47"/>
  <c r="J17" i="47"/>
  <c r="J18" i="47"/>
  <c r="J5" i="47"/>
  <c r="J6" i="47"/>
  <c r="J7" i="47"/>
  <c r="J8" i="47"/>
  <c r="J9" i="47"/>
  <c r="J10" i="47"/>
  <c r="I32" i="41"/>
  <c r="I18" i="41"/>
  <c r="I10" i="41"/>
  <c r="D19" i="47" l="1"/>
  <c r="D11" i="47"/>
  <c r="D20" i="47" s="1"/>
  <c r="I19" i="41"/>
  <c r="I33" i="41" s="1"/>
  <c r="I35" i="41" s="1"/>
  <c r="I36" i="41" s="1"/>
  <c r="G3" i="50" s="1"/>
  <c r="I19" i="47"/>
  <c r="I11" i="47"/>
  <c r="I20" i="47" s="1"/>
  <c r="H19" i="47"/>
  <c r="H11" i="47"/>
  <c r="G19" i="47"/>
  <c r="G11" i="47"/>
  <c r="D25" i="54"/>
  <c r="D19" i="54"/>
  <c r="C19" i="54"/>
  <c r="D11" i="54"/>
  <c r="D20" i="54" s="1"/>
  <c r="D26" i="54" s="1"/>
  <c r="D28" i="54" s="1"/>
  <c r="D29" i="54" s="1"/>
  <c r="H3" i="50" s="1"/>
  <c r="C11" i="54"/>
  <c r="C20" i="54" s="1"/>
  <c r="J11" i="47" l="1"/>
  <c r="G20" i="47"/>
  <c r="J19" i="47"/>
  <c r="H20" i="47"/>
  <c r="J20" i="47" l="1"/>
  <c r="E36" i="53" l="1"/>
  <c r="G25" i="43" l="1"/>
  <c r="G19" i="43"/>
  <c r="G11" i="43"/>
  <c r="F35" i="51"/>
  <c r="H35" i="51"/>
  <c r="J35" i="51"/>
  <c r="D25" i="47"/>
  <c r="I34" i="44"/>
  <c r="J34" i="44"/>
  <c r="D26" i="45"/>
  <c r="D26" i="46"/>
  <c r="H34" i="44"/>
  <c r="G34" i="44"/>
  <c r="F34" i="44"/>
  <c r="E34" i="44"/>
  <c r="D34" i="44"/>
  <c r="D27" i="44"/>
  <c r="D29" i="44" s="1"/>
  <c r="F25" i="43"/>
  <c r="E25" i="43"/>
  <c r="D25" i="43"/>
  <c r="J36" i="51" l="1"/>
  <c r="D27" i="42"/>
  <c r="D28" i="42" s="1"/>
  <c r="D30" i="42" s="1"/>
  <c r="F36" i="51"/>
  <c r="F27" i="42"/>
  <c r="F28" i="42" s="1"/>
  <c r="F30" i="42" s="1"/>
  <c r="H36" i="51"/>
  <c r="E27" i="42"/>
  <c r="E28" i="42" s="1"/>
  <c r="E30" i="42" s="1"/>
  <c r="G20" i="43"/>
  <c r="G26" i="43" s="1"/>
  <c r="G28" i="43" s="1"/>
  <c r="G29" i="43" s="1"/>
  <c r="L3" i="50" s="1"/>
  <c r="G35" i="42"/>
  <c r="F35" i="42"/>
  <c r="E35" i="42"/>
  <c r="D35" i="42"/>
  <c r="E32" i="41" l="1"/>
  <c r="F32" i="41"/>
  <c r="G32" i="41"/>
  <c r="H32" i="41"/>
  <c r="D32" i="41"/>
  <c r="E35" i="48" l="1"/>
  <c r="E36" i="48" s="1"/>
  <c r="C11" i="47" l="1"/>
  <c r="C19" i="47"/>
  <c r="C20" i="47" l="1"/>
  <c r="D26" i="47"/>
  <c r="D28" i="47" s="1"/>
  <c r="D29" i="47" s="1"/>
  <c r="C11" i="46"/>
  <c r="D11" i="46"/>
  <c r="C20" i="46"/>
  <c r="D20" i="46"/>
  <c r="C11" i="45"/>
  <c r="D11" i="45"/>
  <c r="C20" i="45"/>
  <c r="D20" i="45"/>
  <c r="C11" i="44"/>
  <c r="D11" i="44"/>
  <c r="E11" i="44"/>
  <c r="F11" i="44"/>
  <c r="G11" i="44"/>
  <c r="G21" i="44" s="1"/>
  <c r="G35" i="44" s="1"/>
  <c r="G37" i="44" s="1"/>
  <c r="G38" i="44" s="1"/>
  <c r="P3" i="50" s="1"/>
  <c r="H11" i="44"/>
  <c r="I11" i="44"/>
  <c r="J11" i="44"/>
  <c r="C20" i="44"/>
  <c r="C21" i="44" s="1"/>
  <c r="D20" i="44"/>
  <c r="E20" i="44"/>
  <c r="F20" i="44"/>
  <c r="G20" i="44"/>
  <c r="H20" i="44"/>
  <c r="I20" i="44"/>
  <c r="J20" i="44"/>
  <c r="J21" i="44" l="1"/>
  <c r="J35" i="44" s="1"/>
  <c r="J37" i="44" s="1"/>
  <c r="J38" i="44" s="1"/>
  <c r="S3" i="50" s="1"/>
  <c r="I21" i="44"/>
  <c r="I35" i="44" s="1"/>
  <c r="I37" i="44" s="1"/>
  <c r="I38" i="44" s="1"/>
  <c r="R3" i="50" s="1"/>
  <c r="F21" i="44"/>
  <c r="F35" i="44" s="1"/>
  <c r="F37" i="44" s="1"/>
  <c r="F38" i="44" s="1"/>
  <c r="O3" i="50" s="1"/>
  <c r="E21" i="44"/>
  <c r="E35" i="44" s="1"/>
  <c r="E37" i="44" s="1"/>
  <c r="E38" i="44" s="1"/>
  <c r="N3" i="50" s="1"/>
  <c r="D21" i="44"/>
  <c r="D24" i="44" s="1"/>
  <c r="D35" i="44" s="1"/>
  <c r="D37" i="44" s="1"/>
  <c r="D38" i="44" s="1"/>
  <c r="M3" i="50" s="1"/>
  <c r="D21" i="45"/>
  <c r="D27" i="45" s="1"/>
  <c r="D29" i="45" s="1"/>
  <c r="D30" i="45" s="1"/>
  <c r="U3" i="50" s="1"/>
  <c r="D21" i="46"/>
  <c r="D27" i="46" s="1"/>
  <c r="D29" i="46" s="1"/>
  <c r="D30" i="46" s="1"/>
  <c r="T3" i="50" s="1"/>
  <c r="H21" i="44"/>
  <c r="H35" i="44" s="1"/>
  <c r="H37" i="44" s="1"/>
  <c r="H38" i="44" s="1"/>
  <c r="Q3" i="50" s="1"/>
  <c r="C21" i="45"/>
  <c r="C21" i="46"/>
  <c r="C11" i="43"/>
  <c r="D11" i="43"/>
  <c r="E11" i="43"/>
  <c r="F11" i="43"/>
  <c r="C19" i="43"/>
  <c r="D19" i="43"/>
  <c r="E19" i="43"/>
  <c r="F19" i="43"/>
  <c r="E20" i="43" l="1"/>
  <c r="E26" i="43" s="1"/>
  <c r="E28" i="43" s="1"/>
  <c r="E29" i="43" s="1"/>
  <c r="J3" i="50" s="1"/>
  <c r="C20" i="43"/>
  <c r="F20" i="43"/>
  <c r="F26" i="43" s="1"/>
  <c r="F28" i="43" s="1"/>
  <c r="F29" i="43" s="1"/>
  <c r="K3" i="50" s="1"/>
  <c r="D20" i="43"/>
  <c r="D26" i="43" s="1"/>
  <c r="D28" i="43" s="1"/>
  <c r="D29" i="43" s="1"/>
  <c r="I3" i="50" s="1"/>
  <c r="C10" i="42"/>
  <c r="D10" i="42"/>
  <c r="E10" i="42"/>
  <c r="F10" i="42"/>
  <c r="G10" i="42"/>
  <c r="C21" i="42"/>
  <c r="D21" i="42"/>
  <c r="E21" i="42"/>
  <c r="F21" i="42"/>
  <c r="G21" i="42"/>
  <c r="H18" i="41"/>
  <c r="H10" i="41"/>
  <c r="G18" i="41"/>
  <c r="G10" i="41"/>
  <c r="F18" i="41"/>
  <c r="F10" i="41"/>
  <c r="E18" i="41"/>
  <c r="E10" i="41"/>
  <c r="D18" i="41"/>
  <c r="C18" i="41"/>
  <c r="D10" i="41"/>
  <c r="C10" i="41"/>
  <c r="F35" i="39"/>
  <c r="F35" i="38"/>
  <c r="E35" i="40"/>
  <c r="E35" i="39"/>
  <c r="E35" i="38"/>
  <c r="E36" i="40" l="1"/>
  <c r="D24" i="41"/>
  <c r="D25" i="41" s="1"/>
  <c r="D27" i="41" s="1"/>
  <c r="C22" i="42"/>
  <c r="F36" i="39"/>
  <c r="H24" i="41"/>
  <c r="H25" i="41" s="1"/>
  <c r="H27" i="41" s="1"/>
  <c r="F36" i="38"/>
  <c r="E24" i="41"/>
  <c r="E25" i="41" s="1"/>
  <c r="E27" i="41" s="1"/>
  <c r="E22" i="42"/>
  <c r="E25" i="42" s="1"/>
  <c r="E36" i="42" s="1"/>
  <c r="E38" i="42" s="1"/>
  <c r="E39" i="42" s="1"/>
  <c r="W3" i="50" s="1"/>
  <c r="E19" i="41"/>
  <c r="E22" i="41" s="1"/>
  <c r="F22" i="42"/>
  <c r="F25" i="42" s="1"/>
  <c r="F36" i="42" s="1"/>
  <c r="F38" i="42" s="1"/>
  <c r="F39" i="42" s="1"/>
  <c r="Y3" i="50" s="1"/>
  <c r="D22" i="42"/>
  <c r="G22" i="42"/>
  <c r="G25" i="42" s="1"/>
  <c r="G36" i="42" s="1"/>
  <c r="G38" i="42" s="1"/>
  <c r="G39" i="42" s="1"/>
  <c r="Z3" i="50" s="1"/>
  <c r="H19" i="41"/>
  <c r="H22" i="41" s="1"/>
  <c r="F19" i="41"/>
  <c r="F33" i="41" s="1"/>
  <c r="F35" i="41" s="1"/>
  <c r="F36" i="41" s="1"/>
  <c r="C3" i="50" s="1"/>
  <c r="G19" i="41"/>
  <c r="G33" i="41" s="1"/>
  <c r="G35" i="41" s="1"/>
  <c r="G36" i="41" s="1"/>
  <c r="F3" i="50" s="1"/>
  <c r="C19" i="41"/>
  <c r="D19" i="41"/>
  <c r="D25" i="42" l="1"/>
  <c r="D36" i="42" s="1"/>
  <c r="D38" i="42" s="1"/>
  <c r="D39" i="42" s="1"/>
  <c r="X3" i="50" s="1"/>
  <c r="H33" i="41"/>
  <c r="H35" i="41" s="1"/>
  <c r="H36" i="41" s="1"/>
  <c r="D3" i="50" s="1"/>
  <c r="E33" i="41"/>
  <c r="E35" i="41" s="1"/>
  <c r="E36" i="41" s="1"/>
  <c r="E3" i="50" s="1"/>
  <c r="D22" i="41"/>
  <c r="D33" i="41" s="1"/>
  <c r="D35" i="41" s="1"/>
  <c r="D36" i="41" s="1"/>
  <c r="B3" i="50" s="1"/>
</calcChain>
</file>

<file path=xl/sharedStrings.xml><?xml version="1.0" encoding="utf-8"?>
<sst xmlns="http://schemas.openxmlformats.org/spreadsheetml/2006/main" count="1297" uniqueCount="392">
  <si>
    <t>評価項目</t>
    <rPh sb="0" eb="2">
      <t>ヒョウカ</t>
    </rPh>
    <rPh sb="2" eb="4">
      <t>コウモク</t>
    </rPh>
    <phoneticPr fontId="29"/>
  </si>
  <si>
    <t>配点</t>
    <rPh sb="0" eb="2">
      <t>ハイテン</t>
    </rPh>
    <phoneticPr fontId="29"/>
  </si>
  <si>
    <t>規律性</t>
    <rPh sb="0" eb="2">
      <t>キリツ</t>
    </rPh>
    <rPh sb="2" eb="3">
      <t>セイ</t>
    </rPh>
    <phoneticPr fontId="29"/>
  </si>
  <si>
    <t>責任感</t>
    <rPh sb="0" eb="3">
      <t>セキニンカン</t>
    </rPh>
    <phoneticPr fontId="29"/>
  </si>
  <si>
    <t>勤務状況</t>
    <rPh sb="0" eb="2">
      <t>キンム</t>
    </rPh>
    <rPh sb="2" eb="4">
      <t>ジョウキョウ</t>
    </rPh>
    <phoneticPr fontId="29"/>
  </si>
  <si>
    <t>積極性</t>
    <rPh sb="0" eb="3">
      <t>セッキョクセイ</t>
    </rPh>
    <phoneticPr fontId="29"/>
  </si>
  <si>
    <t>協調性</t>
    <rPh sb="0" eb="3">
      <t>キョウチョウセイ</t>
    </rPh>
    <phoneticPr fontId="29"/>
  </si>
  <si>
    <t>社内ルールの遵守</t>
    <rPh sb="0" eb="2">
      <t>シャナイ</t>
    </rPh>
    <rPh sb="6" eb="8">
      <t>ジュンシュ</t>
    </rPh>
    <phoneticPr fontId="29"/>
  </si>
  <si>
    <t>社会行動</t>
    <rPh sb="0" eb="2">
      <t>シャカイ</t>
    </rPh>
    <rPh sb="2" eb="4">
      <t>コウドウ</t>
    </rPh>
    <phoneticPr fontId="29"/>
  </si>
  <si>
    <t>小計</t>
    <rPh sb="0" eb="2">
      <t>ショウケイ</t>
    </rPh>
    <phoneticPr fontId="29"/>
  </si>
  <si>
    <t>業績報告</t>
    <rPh sb="0" eb="2">
      <t>ギョウセキ</t>
    </rPh>
    <rPh sb="2" eb="4">
      <t>ホウコク</t>
    </rPh>
    <phoneticPr fontId="29"/>
  </si>
  <si>
    <t>売上状況（前年比）</t>
    <rPh sb="0" eb="2">
      <t>ウリアゲ</t>
    </rPh>
    <rPh sb="2" eb="4">
      <t>ジョウキョウ</t>
    </rPh>
    <rPh sb="5" eb="8">
      <t>ゼンネンヒ</t>
    </rPh>
    <phoneticPr fontId="29"/>
  </si>
  <si>
    <t>売上状況（目標比）</t>
    <rPh sb="0" eb="2">
      <t>ウリアゲ</t>
    </rPh>
    <rPh sb="2" eb="4">
      <t>ジョウキョウ</t>
    </rPh>
    <rPh sb="5" eb="7">
      <t>モクヒョウ</t>
    </rPh>
    <rPh sb="7" eb="8">
      <t>ヒ</t>
    </rPh>
    <phoneticPr fontId="29"/>
  </si>
  <si>
    <t>新規顧客獲得</t>
    <rPh sb="0" eb="2">
      <t>シンキ</t>
    </rPh>
    <rPh sb="2" eb="4">
      <t>コキャク</t>
    </rPh>
    <rPh sb="4" eb="6">
      <t>カクトク</t>
    </rPh>
    <phoneticPr fontId="29"/>
  </si>
  <si>
    <t>主要顧客への訪問</t>
    <rPh sb="0" eb="2">
      <t>シュヨウ</t>
    </rPh>
    <rPh sb="2" eb="4">
      <t>コキャク</t>
    </rPh>
    <rPh sb="6" eb="8">
      <t>ホウモン</t>
    </rPh>
    <phoneticPr fontId="29"/>
  </si>
  <si>
    <t>活動状況</t>
    <phoneticPr fontId="29"/>
  </si>
  <si>
    <t>見積確認・後追い</t>
    <rPh sb="0" eb="2">
      <t>ミツ</t>
    </rPh>
    <rPh sb="2" eb="4">
      <t>カクニン</t>
    </rPh>
    <rPh sb="5" eb="7">
      <t>アトオ</t>
    </rPh>
    <phoneticPr fontId="29"/>
  </si>
  <si>
    <t>見積内容の情報収集および上司への報連相</t>
    <rPh sb="0" eb="2">
      <t>ミツモリ</t>
    </rPh>
    <rPh sb="2" eb="4">
      <t>ナイヨウ</t>
    </rPh>
    <rPh sb="5" eb="7">
      <t>ジョウホウ</t>
    </rPh>
    <rPh sb="7" eb="9">
      <t>シュウシュウ</t>
    </rPh>
    <rPh sb="12" eb="14">
      <t>ジョウシ</t>
    </rPh>
    <rPh sb="16" eb="19">
      <t>ホウレンソウ</t>
    </rPh>
    <phoneticPr fontId="29"/>
  </si>
  <si>
    <t>G取り組みへの姿勢</t>
    <rPh sb="1" eb="2">
      <t>ト</t>
    </rPh>
    <rPh sb="3" eb="4">
      <t>ク</t>
    </rPh>
    <rPh sb="7" eb="9">
      <t>シセイ</t>
    </rPh>
    <phoneticPr fontId="29"/>
  </si>
  <si>
    <t>合計</t>
    <rPh sb="0" eb="2">
      <t>ゴウケイ</t>
    </rPh>
    <phoneticPr fontId="29"/>
  </si>
  <si>
    <t>16の心得の実践</t>
    <rPh sb="3" eb="5">
      <t>ココロエ</t>
    </rPh>
    <rPh sb="6" eb="8">
      <t>ジッセン</t>
    </rPh>
    <phoneticPr fontId="16"/>
  </si>
  <si>
    <t>スマイディアの管理職に必要な基礎能力と具体的実施行動</t>
    <rPh sb="7" eb="9">
      <t>カンリ</t>
    </rPh>
    <rPh sb="9" eb="10">
      <t>ショク</t>
    </rPh>
    <rPh sb="11" eb="13">
      <t>ヒツヨウ</t>
    </rPh>
    <rPh sb="14" eb="16">
      <t>キソ</t>
    </rPh>
    <rPh sb="16" eb="18">
      <t>ノウリョク</t>
    </rPh>
    <rPh sb="19" eb="22">
      <t>グタイテキ</t>
    </rPh>
    <rPh sb="22" eb="24">
      <t>ジッシ</t>
    </rPh>
    <rPh sb="24" eb="26">
      <t>コウドウ</t>
    </rPh>
    <phoneticPr fontId="29"/>
  </si>
  <si>
    <t>番号</t>
    <rPh sb="0" eb="2">
      <t>バンゴウ</t>
    </rPh>
    <phoneticPr fontId="29"/>
  </si>
  <si>
    <t>大項目</t>
    <rPh sb="0" eb="3">
      <t>ダイコウモク</t>
    </rPh>
    <phoneticPr fontId="29"/>
  </si>
  <si>
    <t>中項目</t>
    <rPh sb="0" eb="1">
      <t>チュウ</t>
    </rPh>
    <rPh sb="1" eb="3">
      <t>コウモク</t>
    </rPh>
    <phoneticPr fontId="29"/>
  </si>
  <si>
    <t>小項目（具体的行動内容）</t>
    <rPh sb="0" eb="3">
      <t>ショウコウモク</t>
    </rPh>
    <rPh sb="4" eb="7">
      <t>グタイテキ</t>
    </rPh>
    <rPh sb="7" eb="9">
      <t>コウドウ</t>
    </rPh>
    <rPh sb="9" eb="11">
      <t>ナイヨウ</t>
    </rPh>
    <phoneticPr fontId="29"/>
  </si>
  <si>
    <t>上司評定</t>
    <rPh sb="0" eb="2">
      <t>ジョウシ</t>
    </rPh>
    <rPh sb="2" eb="4">
      <t>ヒョウテイ</t>
    </rPh>
    <phoneticPr fontId="29"/>
  </si>
  <si>
    <t>1</t>
    <phoneticPr fontId="29"/>
  </si>
  <si>
    <t>課題認識</t>
    <rPh sb="0" eb="2">
      <t>カダイ</t>
    </rPh>
    <rPh sb="2" eb="4">
      <t>ニンシキ</t>
    </rPh>
    <phoneticPr fontId="29"/>
  </si>
  <si>
    <t>情報収集</t>
    <rPh sb="0" eb="2">
      <t>ジョウホウ</t>
    </rPh>
    <rPh sb="2" eb="4">
      <t>シュウシュウ</t>
    </rPh>
    <phoneticPr fontId="29"/>
  </si>
  <si>
    <t>新聞、業界紙、インターネットに加えて、社内外の人脈を通じて、会社及び自部門に関わる情報を入手している</t>
    <rPh sb="0" eb="2">
      <t>シンブン</t>
    </rPh>
    <rPh sb="3" eb="6">
      <t>ギョウカイシ</t>
    </rPh>
    <rPh sb="15" eb="16">
      <t>クワ</t>
    </rPh>
    <rPh sb="19" eb="22">
      <t>シャナイガイ</t>
    </rPh>
    <rPh sb="23" eb="25">
      <t>ジンミャク</t>
    </rPh>
    <rPh sb="26" eb="27">
      <t>ツウ</t>
    </rPh>
    <rPh sb="30" eb="32">
      <t>カイシャ</t>
    </rPh>
    <rPh sb="32" eb="33">
      <t>オヨ</t>
    </rPh>
    <rPh sb="34" eb="37">
      <t>ジブモン</t>
    </rPh>
    <rPh sb="38" eb="39">
      <t>カカ</t>
    </rPh>
    <rPh sb="41" eb="43">
      <t>ジョウホウ</t>
    </rPh>
    <rPh sb="44" eb="46">
      <t>ニュウシュ</t>
    </rPh>
    <phoneticPr fontId="29"/>
  </si>
  <si>
    <t>2</t>
  </si>
  <si>
    <t>分析的・本質的課題認識</t>
    <rPh sb="0" eb="3">
      <t>ブンセキテキ</t>
    </rPh>
    <rPh sb="4" eb="7">
      <t>ホンシツテキ</t>
    </rPh>
    <rPh sb="7" eb="9">
      <t>カダイ</t>
    </rPh>
    <rPh sb="9" eb="11">
      <t>ニンシキ</t>
    </rPh>
    <phoneticPr fontId="29"/>
  </si>
  <si>
    <t>取得した情報を正確・的確に分析したうえで、自部門の課題を明らかにしている。</t>
    <rPh sb="0" eb="2">
      <t>シュトク</t>
    </rPh>
    <rPh sb="4" eb="6">
      <t>ジョウホウ</t>
    </rPh>
    <rPh sb="7" eb="9">
      <t>セイカク</t>
    </rPh>
    <rPh sb="10" eb="12">
      <t>テキカク</t>
    </rPh>
    <rPh sb="13" eb="15">
      <t>ブンセキ</t>
    </rPh>
    <rPh sb="21" eb="22">
      <t>ジ</t>
    </rPh>
    <rPh sb="22" eb="24">
      <t>ブモン</t>
    </rPh>
    <rPh sb="25" eb="27">
      <t>カダイ</t>
    </rPh>
    <rPh sb="28" eb="29">
      <t>アキ</t>
    </rPh>
    <phoneticPr fontId="29"/>
  </si>
  <si>
    <t>3</t>
  </si>
  <si>
    <t>企画・立案</t>
    <rPh sb="0" eb="2">
      <t>キカク</t>
    </rPh>
    <rPh sb="3" eb="5">
      <t>リツアン</t>
    </rPh>
    <phoneticPr fontId="29"/>
  </si>
  <si>
    <t>あるべき姿・部門目標設定</t>
    <rPh sb="4" eb="5">
      <t>スガタ</t>
    </rPh>
    <rPh sb="6" eb="8">
      <t>ブモン</t>
    </rPh>
    <rPh sb="8" eb="10">
      <t>モクヒョウ</t>
    </rPh>
    <rPh sb="10" eb="12">
      <t>セッテイ</t>
    </rPh>
    <phoneticPr fontId="29"/>
  </si>
  <si>
    <t>会社方針を踏まえて、自部門のあるべき姿・目標（ゴールイメージ）を明確にしている。</t>
    <rPh sb="0" eb="2">
      <t>カイシャ</t>
    </rPh>
    <rPh sb="2" eb="4">
      <t>ホウシン</t>
    </rPh>
    <rPh sb="5" eb="6">
      <t>フ</t>
    </rPh>
    <rPh sb="10" eb="11">
      <t>ジ</t>
    </rPh>
    <rPh sb="11" eb="13">
      <t>ブモン</t>
    </rPh>
    <rPh sb="18" eb="19">
      <t>スガタ</t>
    </rPh>
    <rPh sb="20" eb="22">
      <t>モクヒョウ</t>
    </rPh>
    <rPh sb="32" eb="34">
      <t>メイカク</t>
    </rPh>
    <phoneticPr fontId="29"/>
  </si>
  <si>
    <t>4</t>
  </si>
  <si>
    <t>課題設定</t>
    <rPh sb="0" eb="2">
      <t>カダイ</t>
    </rPh>
    <rPh sb="2" eb="4">
      <t>セッテイ</t>
    </rPh>
    <phoneticPr fontId="29"/>
  </si>
  <si>
    <t>部門目標を踏まえ、顧客ニーズや部外環境の動向を想定し課題を設定している。</t>
    <rPh sb="0" eb="2">
      <t>ブモン</t>
    </rPh>
    <rPh sb="2" eb="4">
      <t>モクヒョウ</t>
    </rPh>
    <rPh sb="5" eb="6">
      <t>フ</t>
    </rPh>
    <rPh sb="9" eb="11">
      <t>コキャク</t>
    </rPh>
    <rPh sb="15" eb="17">
      <t>ブガイ</t>
    </rPh>
    <rPh sb="17" eb="19">
      <t>カンキョウ</t>
    </rPh>
    <rPh sb="20" eb="22">
      <t>ドウコウ</t>
    </rPh>
    <rPh sb="23" eb="25">
      <t>ソウテイ</t>
    </rPh>
    <rPh sb="26" eb="28">
      <t>カダイ</t>
    </rPh>
    <rPh sb="29" eb="31">
      <t>セッテイ</t>
    </rPh>
    <phoneticPr fontId="29"/>
  </si>
  <si>
    <t>5</t>
  </si>
  <si>
    <t>部門目標を達成するために重点課題を整理し、具体的な活動計画に落とし込むための方向性をメンバーの意見も傾聴し共有できている。</t>
    <rPh sb="0" eb="2">
      <t>ブモン</t>
    </rPh>
    <rPh sb="2" eb="4">
      <t>モクヒョウ</t>
    </rPh>
    <rPh sb="5" eb="7">
      <t>タッセイ</t>
    </rPh>
    <rPh sb="12" eb="14">
      <t>ジュウテン</t>
    </rPh>
    <rPh sb="14" eb="16">
      <t>カダイ</t>
    </rPh>
    <rPh sb="17" eb="19">
      <t>セイリ</t>
    </rPh>
    <rPh sb="21" eb="24">
      <t>グタイテキ</t>
    </rPh>
    <rPh sb="25" eb="27">
      <t>カツドウ</t>
    </rPh>
    <rPh sb="27" eb="29">
      <t>ケイカク</t>
    </rPh>
    <rPh sb="30" eb="31">
      <t>オ</t>
    </rPh>
    <rPh sb="33" eb="34">
      <t>コ</t>
    </rPh>
    <rPh sb="38" eb="41">
      <t>ホウコウセイ</t>
    </rPh>
    <rPh sb="47" eb="49">
      <t>イケン</t>
    </rPh>
    <rPh sb="50" eb="52">
      <t>ケイチョウ</t>
    </rPh>
    <rPh sb="53" eb="55">
      <t>キョウユウ</t>
    </rPh>
    <phoneticPr fontId="29"/>
  </si>
  <si>
    <t>6</t>
  </si>
  <si>
    <t>体制立案</t>
    <rPh sb="0" eb="2">
      <t>タイセイ</t>
    </rPh>
    <rPh sb="2" eb="4">
      <t>リツアン</t>
    </rPh>
    <phoneticPr fontId="29"/>
  </si>
  <si>
    <t>重点課題解決に必要となる組織構成・人員・予算等の体制を立案し、会社に具申している。</t>
    <rPh sb="0" eb="2">
      <t>ジュウテン</t>
    </rPh>
    <rPh sb="2" eb="4">
      <t>カダイ</t>
    </rPh>
    <rPh sb="4" eb="6">
      <t>カイケツ</t>
    </rPh>
    <rPh sb="7" eb="9">
      <t>ヒツヨウ</t>
    </rPh>
    <rPh sb="12" eb="14">
      <t>ソシキ</t>
    </rPh>
    <rPh sb="14" eb="16">
      <t>コウセイ</t>
    </rPh>
    <rPh sb="17" eb="19">
      <t>ジンイン</t>
    </rPh>
    <rPh sb="20" eb="22">
      <t>ヨサン</t>
    </rPh>
    <rPh sb="22" eb="23">
      <t>トウ</t>
    </rPh>
    <rPh sb="24" eb="26">
      <t>タイセイ</t>
    </rPh>
    <rPh sb="27" eb="29">
      <t>リツアン</t>
    </rPh>
    <rPh sb="31" eb="33">
      <t>カイシャ</t>
    </rPh>
    <rPh sb="34" eb="36">
      <t>グシン</t>
    </rPh>
    <phoneticPr fontId="29"/>
  </si>
  <si>
    <t>7</t>
  </si>
  <si>
    <t>実現性のある活動計画設定</t>
    <rPh sb="0" eb="3">
      <t>ジツゲンセイ</t>
    </rPh>
    <rPh sb="6" eb="8">
      <t>カツドウ</t>
    </rPh>
    <rPh sb="8" eb="10">
      <t>ケイカク</t>
    </rPh>
    <rPh sb="10" eb="12">
      <t>セッテイ</t>
    </rPh>
    <phoneticPr fontId="29"/>
  </si>
  <si>
    <t>既成概念打破・創意工夫のある活動計画を設定している。</t>
    <rPh sb="0" eb="2">
      <t>キセイ</t>
    </rPh>
    <rPh sb="2" eb="4">
      <t>ガイネン</t>
    </rPh>
    <rPh sb="4" eb="6">
      <t>ダハ</t>
    </rPh>
    <rPh sb="7" eb="9">
      <t>ソウイ</t>
    </rPh>
    <rPh sb="9" eb="11">
      <t>クフウ</t>
    </rPh>
    <rPh sb="14" eb="16">
      <t>カツドウ</t>
    </rPh>
    <rPh sb="16" eb="18">
      <t>ケイカク</t>
    </rPh>
    <rPh sb="19" eb="21">
      <t>セッテイ</t>
    </rPh>
    <phoneticPr fontId="29"/>
  </si>
  <si>
    <t>8</t>
  </si>
  <si>
    <t>論理的に考えられた活動計画である。</t>
    <rPh sb="0" eb="3">
      <t>ロンリテキ</t>
    </rPh>
    <rPh sb="4" eb="5">
      <t>カンガ</t>
    </rPh>
    <rPh sb="9" eb="11">
      <t>カツドウ</t>
    </rPh>
    <rPh sb="11" eb="13">
      <t>ケイカク</t>
    </rPh>
    <phoneticPr fontId="29"/>
  </si>
  <si>
    <t>9</t>
  </si>
  <si>
    <t>生産性の向上のための施策を織り込んでいる。</t>
    <rPh sb="0" eb="3">
      <t>セイサンセイ</t>
    </rPh>
    <rPh sb="4" eb="6">
      <t>コウジョウ</t>
    </rPh>
    <rPh sb="10" eb="11">
      <t>セ</t>
    </rPh>
    <rPh sb="11" eb="12">
      <t>サク</t>
    </rPh>
    <rPh sb="13" eb="14">
      <t>オ</t>
    </rPh>
    <rPh sb="15" eb="16">
      <t>コ</t>
    </rPh>
    <phoneticPr fontId="29"/>
  </si>
  <si>
    <t>10</t>
  </si>
  <si>
    <t>タイムスケジュールまで落とし込まれている。</t>
    <rPh sb="11" eb="12">
      <t>オ</t>
    </rPh>
    <rPh sb="14" eb="15">
      <t>コ</t>
    </rPh>
    <phoneticPr fontId="29"/>
  </si>
  <si>
    <t>11</t>
  </si>
  <si>
    <t>状況の変化に対応したり、業務拡大のための複数のシナリオが想定されている。</t>
    <rPh sb="0" eb="2">
      <t>ジョウキョウ</t>
    </rPh>
    <rPh sb="3" eb="5">
      <t>ヘンカ</t>
    </rPh>
    <rPh sb="6" eb="8">
      <t>タイオウ</t>
    </rPh>
    <rPh sb="12" eb="14">
      <t>ギョウム</t>
    </rPh>
    <rPh sb="14" eb="16">
      <t>カクダイ</t>
    </rPh>
    <rPh sb="20" eb="22">
      <t>フクスウ</t>
    </rPh>
    <rPh sb="28" eb="30">
      <t>ソウテイ</t>
    </rPh>
    <phoneticPr fontId="29"/>
  </si>
  <si>
    <t>12</t>
  </si>
  <si>
    <t>メンバー一人ひとりが主体的に取り組めるように具体的活動計画を理解させている。</t>
    <rPh sb="4" eb="6">
      <t>ヒトリ</t>
    </rPh>
    <rPh sb="10" eb="13">
      <t>シュタイテキ</t>
    </rPh>
    <rPh sb="14" eb="15">
      <t>ト</t>
    </rPh>
    <rPh sb="16" eb="17">
      <t>ク</t>
    </rPh>
    <rPh sb="22" eb="25">
      <t>グタイテキ</t>
    </rPh>
    <rPh sb="25" eb="27">
      <t>カツドウ</t>
    </rPh>
    <rPh sb="27" eb="29">
      <t>ケイカク</t>
    </rPh>
    <rPh sb="30" eb="32">
      <t>リカイ</t>
    </rPh>
    <phoneticPr fontId="29"/>
  </si>
  <si>
    <t>13</t>
  </si>
  <si>
    <t>仕事の遂行</t>
    <rPh sb="0" eb="2">
      <t>シゴト</t>
    </rPh>
    <rPh sb="3" eb="5">
      <t>スイコウ</t>
    </rPh>
    <phoneticPr fontId="29"/>
  </si>
  <si>
    <t>実行</t>
    <rPh sb="0" eb="2">
      <t>ジッコウ</t>
    </rPh>
    <phoneticPr fontId="29"/>
  </si>
  <si>
    <t>困難な課題であっても合理的に考え、タイミングを逸することなく決断し、結果にコミットする努力を惜しまない。</t>
    <rPh sb="0" eb="2">
      <t>コンナン</t>
    </rPh>
    <rPh sb="3" eb="5">
      <t>カダイ</t>
    </rPh>
    <rPh sb="10" eb="13">
      <t>ゴウリテキ</t>
    </rPh>
    <rPh sb="14" eb="15">
      <t>カンガ</t>
    </rPh>
    <rPh sb="23" eb="24">
      <t>イッ</t>
    </rPh>
    <rPh sb="30" eb="32">
      <t>ケツダン</t>
    </rPh>
    <rPh sb="34" eb="36">
      <t>ケッカ</t>
    </rPh>
    <rPh sb="43" eb="45">
      <t>ドリョク</t>
    </rPh>
    <rPh sb="46" eb="47">
      <t>オ</t>
    </rPh>
    <phoneticPr fontId="29"/>
  </si>
  <si>
    <t>14</t>
  </si>
  <si>
    <t>「できない」ではなく、できる方法やどうすればできるかを考え実践している。</t>
    <rPh sb="14" eb="16">
      <t>ホウホウ</t>
    </rPh>
    <rPh sb="27" eb="28">
      <t>カンガ</t>
    </rPh>
    <rPh sb="29" eb="31">
      <t>ジッセン</t>
    </rPh>
    <phoneticPr fontId="29"/>
  </si>
  <si>
    <t>15</t>
  </si>
  <si>
    <t>率先垂範でメンバーから目標となる存在になっている。</t>
    <rPh sb="0" eb="4">
      <t>ソッセンスイハン</t>
    </rPh>
    <rPh sb="11" eb="13">
      <t>モクヒョウ</t>
    </rPh>
    <rPh sb="16" eb="18">
      <t>ソンザイ</t>
    </rPh>
    <phoneticPr fontId="29"/>
  </si>
  <si>
    <t>16</t>
  </si>
  <si>
    <t>周囲への働きかけ</t>
    <rPh sb="0" eb="2">
      <t>シュウイ</t>
    </rPh>
    <rPh sb="4" eb="5">
      <t>ハタラ</t>
    </rPh>
    <phoneticPr fontId="29"/>
  </si>
  <si>
    <t>進捗管理と支援</t>
    <rPh sb="0" eb="2">
      <t>シンチョク</t>
    </rPh>
    <rPh sb="2" eb="4">
      <t>カンリ</t>
    </rPh>
    <rPh sb="5" eb="7">
      <t>シエン</t>
    </rPh>
    <phoneticPr fontId="29"/>
  </si>
  <si>
    <t>自部門だけでなく会社全体の業績向上という視点をもって、他部署に協力している。</t>
    <rPh sb="0" eb="1">
      <t>ジ</t>
    </rPh>
    <rPh sb="1" eb="3">
      <t>ブモン</t>
    </rPh>
    <rPh sb="8" eb="10">
      <t>カイシャ</t>
    </rPh>
    <rPh sb="10" eb="12">
      <t>ゼンタイ</t>
    </rPh>
    <rPh sb="13" eb="15">
      <t>ギョウセキ</t>
    </rPh>
    <rPh sb="15" eb="17">
      <t>コウジョウ</t>
    </rPh>
    <rPh sb="20" eb="22">
      <t>シテン</t>
    </rPh>
    <rPh sb="27" eb="30">
      <t>タブショ</t>
    </rPh>
    <rPh sb="31" eb="33">
      <t>キョウリョク</t>
    </rPh>
    <phoneticPr fontId="29"/>
  </si>
  <si>
    <t>17</t>
  </si>
  <si>
    <t>より大きな成果を出すためには、摩擦を恐れず既存の枠組みを変えていくように周囲に働きかけている。</t>
    <rPh sb="2" eb="3">
      <t>オオ</t>
    </rPh>
    <rPh sb="5" eb="7">
      <t>セイカ</t>
    </rPh>
    <rPh sb="8" eb="9">
      <t>ダ</t>
    </rPh>
    <rPh sb="15" eb="17">
      <t>マサツ</t>
    </rPh>
    <rPh sb="18" eb="19">
      <t>オソ</t>
    </rPh>
    <rPh sb="21" eb="23">
      <t>キゾン</t>
    </rPh>
    <rPh sb="24" eb="26">
      <t>ワクグ</t>
    </rPh>
    <rPh sb="28" eb="29">
      <t>カ</t>
    </rPh>
    <rPh sb="36" eb="38">
      <t>シュウイ</t>
    </rPh>
    <rPh sb="39" eb="40">
      <t>ハタラ</t>
    </rPh>
    <phoneticPr fontId="29"/>
  </si>
  <si>
    <t>18</t>
  </si>
  <si>
    <t>指示や支援、相談、叱咤激励などを通じて、目標達成へのメンバーへのこだわりを駆り立てている。</t>
    <rPh sb="0" eb="2">
      <t>シジ</t>
    </rPh>
    <rPh sb="3" eb="5">
      <t>シエン</t>
    </rPh>
    <rPh sb="6" eb="8">
      <t>ソウダン</t>
    </rPh>
    <rPh sb="9" eb="11">
      <t>シッタ</t>
    </rPh>
    <rPh sb="11" eb="13">
      <t>ゲキレイ</t>
    </rPh>
    <rPh sb="16" eb="17">
      <t>ツウ</t>
    </rPh>
    <rPh sb="20" eb="22">
      <t>モクヒョウ</t>
    </rPh>
    <rPh sb="22" eb="24">
      <t>タッセイ</t>
    </rPh>
    <rPh sb="37" eb="38">
      <t>カ</t>
    </rPh>
    <rPh sb="39" eb="40">
      <t>タ</t>
    </rPh>
    <phoneticPr fontId="29"/>
  </si>
  <si>
    <t>19</t>
  </si>
  <si>
    <t>メンバーとは率先してコミュニケーションを行い、チームワークを高めている。</t>
    <rPh sb="6" eb="8">
      <t>ソッセン</t>
    </rPh>
    <rPh sb="20" eb="21">
      <t>オコナ</t>
    </rPh>
    <rPh sb="30" eb="31">
      <t>タカ</t>
    </rPh>
    <phoneticPr fontId="29"/>
  </si>
  <si>
    <t>20</t>
  </si>
  <si>
    <t>自分の過ちは素直に認めている。</t>
    <rPh sb="0" eb="2">
      <t>ジブン</t>
    </rPh>
    <rPh sb="3" eb="4">
      <t>アヤマ</t>
    </rPh>
    <rPh sb="6" eb="8">
      <t>スナオ</t>
    </rPh>
    <rPh sb="9" eb="10">
      <t>ミト</t>
    </rPh>
    <phoneticPr fontId="29"/>
  </si>
  <si>
    <t>21</t>
  </si>
  <si>
    <t>メンバー育成</t>
    <rPh sb="4" eb="6">
      <t>イクセイ</t>
    </rPh>
    <phoneticPr fontId="29"/>
  </si>
  <si>
    <t>メンバーの育成課題を明確に、業務の割り当てや将来のキャリアを考えた育成計画を具体的に示している。</t>
    <rPh sb="5" eb="7">
      <t>イクセイ</t>
    </rPh>
    <rPh sb="7" eb="9">
      <t>カダイ</t>
    </rPh>
    <rPh sb="10" eb="12">
      <t>メイカク</t>
    </rPh>
    <rPh sb="14" eb="16">
      <t>ギョウム</t>
    </rPh>
    <rPh sb="17" eb="18">
      <t>ワ</t>
    </rPh>
    <rPh sb="19" eb="20">
      <t>ア</t>
    </rPh>
    <rPh sb="22" eb="24">
      <t>ショウライ</t>
    </rPh>
    <rPh sb="30" eb="31">
      <t>カンガ</t>
    </rPh>
    <rPh sb="33" eb="35">
      <t>イクセイ</t>
    </rPh>
    <rPh sb="35" eb="37">
      <t>ケイカク</t>
    </rPh>
    <rPh sb="38" eb="41">
      <t>グタイテキ</t>
    </rPh>
    <rPh sb="42" eb="43">
      <t>シメ</t>
    </rPh>
    <phoneticPr fontId="29"/>
  </si>
  <si>
    <t>22</t>
  </si>
  <si>
    <t>検証</t>
    <rPh sb="0" eb="2">
      <t>ケンショウ</t>
    </rPh>
    <phoneticPr fontId="29"/>
  </si>
  <si>
    <t>自部門の活動計画に対する実績を検証し、必要に応じて目標や活動計画の見直しを行っている。</t>
    <rPh sb="0" eb="1">
      <t>ジ</t>
    </rPh>
    <rPh sb="1" eb="3">
      <t>ブモン</t>
    </rPh>
    <rPh sb="4" eb="6">
      <t>カツドウ</t>
    </rPh>
    <rPh sb="6" eb="8">
      <t>ケイカク</t>
    </rPh>
    <rPh sb="9" eb="10">
      <t>タイ</t>
    </rPh>
    <rPh sb="12" eb="14">
      <t>ジッセキ</t>
    </rPh>
    <rPh sb="15" eb="17">
      <t>ケンショウ</t>
    </rPh>
    <rPh sb="19" eb="21">
      <t>ヒツヨウ</t>
    </rPh>
    <rPh sb="22" eb="23">
      <t>オウ</t>
    </rPh>
    <rPh sb="25" eb="27">
      <t>モクヒョウ</t>
    </rPh>
    <rPh sb="28" eb="30">
      <t>カツドウ</t>
    </rPh>
    <rPh sb="30" eb="32">
      <t>ケイカク</t>
    </rPh>
    <rPh sb="33" eb="35">
      <t>ミナオ</t>
    </rPh>
    <rPh sb="37" eb="38">
      <t>オコナ</t>
    </rPh>
    <phoneticPr fontId="29"/>
  </si>
  <si>
    <t>23</t>
  </si>
  <si>
    <t>成功例や失敗例の共有ができている。</t>
    <rPh sb="0" eb="3">
      <t>セイコウレイ</t>
    </rPh>
    <rPh sb="4" eb="6">
      <t>シッパイ</t>
    </rPh>
    <rPh sb="6" eb="7">
      <t>レイ</t>
    </rPh>
    <rPh sb="8" eb="10">
      <t>キョウユウ</t>
    </rPh>
    <phoneticPr fontId="29"/>
  </si>
  <si>
    <t>24</t>
  </si>
  <si>
    <t>リスク管理</t>
    <rPh sb="3" eb="5">
      <t>カンリ</t>
    </rPh>
    <phoneticPr fontId="29"/>
  </si>
  <si>
    <t>職場の安全（衛生）を優先した安全確保を意識し、交通ルールも遵守している。</t>
    <rPh sb="0" eb="2">
      <t>ショクバ</t>
    </rPh>
    <rPh sb="3" eb="5">
      <t>アンゼン</t>
    </rPh>
    <rPh sb="6" eb="8">
      <t>エイセイ</t>
    </rPh>
    <rPh sb="10" eb="12">
      <t>ユウセン</t>
    </rPh>
    <rPh sb="14" eb="16">
      <t>アンゼン</t>
    </rPh>
    <rPh sb="16" eb="18">
      <t>カクホ</t>
    </rPh>
    <rPh sb="19" eb="21">
      <t>イシキ</t>
    </rPh>
    <rPh sb="23" eb="25">
      <t>コウツウ</t>
    </rPh>
    <rPh sb="29" eb="31">
      <t>ジュンシュ</t>
    </rPh>
    <phoneticPr fontId="29"/>
  </si>
  <si>
    <t>25</t>
  </si>
  <si>
    <t>自部門で予測される問題点を適宜把握しており、未然に防いでいる。</t>
    <rPh sb="0" eb="1">
      <t>ジ</t>
    </rPh>
    <rPh sb="1" eb="3">
      <t>ブモン</t>
    </rPh>
    <rPh sb="4" eb="6">
      <t>ヨソク</t>
    </rPh>
    <rPh sb="9" eb="12">
      <t>モンダイテン</t>
    </rPh>
    <rPh sb="13" eb="15">
      <t>テキギ</t>
    </rPh>
    <rPh sb="15" eb="17">
      <t>ハアク</t>
    </rPh>
    <rPh sb="22" eb="24">
      <t>ミゼン</t>
    </rPh>
    <rPh sb="25" eb="26">
      <t>フセ</t>
    </rPh>
    <phoneticPr fontId="29"/>
  </si>
  <si>
    <t>26</t>
  </si>
  <si>
    <t>トラブル発生時の対応</t>
    <rPh sb="4" eb="6">
      <t>ハッセイ</t>
    </rPh>
    <rPh sb="6" eb="7">
      <t>ジ</t>
    </rPh>
    <rPh sb="8" eb="10">
      <t>タイオウ</t>
    </rPh>
    <phoneticPr fontId="29"/>
  </si>
  <si>
    <t>発生したトラブルを、重要度や優先順位の観点から必要な対応策を定め、実践している。</t>
    <rPh sb="0" eb="2">
      <t>ハッセイ</t>
    </rPh>
    <rPh sb="10" eb="13">
      <t>ジュウヨウド</t>
    </rPh>
    <rPh sb="14" eb="16">
      <t>ユウセン</t>
    </rPh>
    <rPh sb="16" eb="18">
      <t>ジュンイ</t>
    </rPh>
    <rPh sb="19" eb="21">
      <t>カンテン</t>
    </rPh>
    <rPh sb="23" eb="25">
      <t>ヒツヨウ</t>
    </rPh>
    <rPh sb="26" eb="28">
      <t>タイオウ</t>
    </rPh>
    <rPh sb="28" eb="29">
      <t>サク</t>
    </rPh>
    <rPh sb="30" eb="31">
      <t>サダ</t>
    </rPh>
    <rPh sb="33" eb="35">
      <t>ジッセン</t>
    </rPh>
    <phoneticPr fontId="29"/>
  </si>
  <si>
    <t>27</t>
  </si>
  <si>
    <t>基本</t>
    <rPh sb="0" eb="2">
      <t>キホン</t>
    </rPh>
    <phoneticPr fontId="29"/>
  </si>
  <si>
    <t>ビジネス感覚</t>
    <rPh sb="4" eb="6">
      <t>カンカク</t>
    </rPh>
    <phoneticPr fontId="29"/>
  </si>
  <si>
    <t>一般教養、基本的なマネジメントや財務・会計等の知識やスキルを自ら取得し、現場で活用している。</t>
    <rPh sb="0" eb="2">
      <t>イッパン</t>
    </rPh>
    <rPh sb="2" eb="4">
      <t>キョウヨウ</t>
    </rPh>
    <rPh sb="5" eb="8">
      <t>キホンテキ</t>
    </rPh>
    <rPh sb="16" eb="18">
      <t>ザイム</t>
    </rPh>
    <rPh sb="19" eb="21">
      <t>カイケイ</t>
    </rPh>
    <rPh sb="21" eb="22">
      <t>トウ</t>
    </rPh>
    <rPh sb="23" eb="25">
      <t>チシキ</t>
    </rPh>
    <rPh sb="30" eb="31">
      <t>ミズカ</t>
    </rPh>
    <rPh sb="32" eb="34">
      <t>シュトク</t>
    </rPh>
    <rPh sb="36" eb="38">
      <t>ゲンバ</t>
    </rPh>
    <rPh sb="39" eb="41">
      <t>カツヨウ</t>
    </rPh>
    <phoneticPr fontId="29"/>
  </si>
  <si>
    <t>28</t>
  </si>
  <si>
    <t>自社や自部門の利益や費用（コスト）対効果を見極めて判断している。</t>
    <rPh sb="0" eb="2">
      <t>ジシャ</t>
    </rPh>
    <rPh sb="3" eb="6">
      <t>ジブモン</t>
    </rPh>
    <rPh sb="7" eb="9">
      <t>リエキ</t>
    </rPh>
    <rPh sb="10" eb="12">
      <t>ヒヨウ</t>
    </rPh>
    <rPh sb="17" eb="18">
      <t>タイ</t>
    </rPh>
    <rPh sb="18" eb="20">
      <t>コウカ</t>
    </rPh>
    <rPh sb="21" eb="23">
      <t>ミキワ</t>
    </rPh>
    <rPh sb="25" eb="27">
      <t>ハンダン</t>
    </rPh>
    <phoneticPr fontId="29"/>
  </si>
  <si>
    <t>29</t>
  </si>
  <si>
    <t>顧客志向</t>
    <rPh sb="0" eb="2">
      <t>コキャク</t>
    </rPh>
    <rPh sb="2" eb="4">
      <t>シコウ</t>
    </rPh>
    <phoneticPr fontId="29"/>
  </si>
  <si>
    <t>顧客や取引先との交渉や折衝を円滑に行い、WIN・WINの関係になるようその関係を維持・構築している。</t>
    <rPh sb="0" eb="2">
      <t>コキャク</t>
    </rPh>
    <rPh sb="3" eb="5">
      <t>トリヒキ</t>
    </rPh>
    <rPh sb="5" eb="6">
      <t>サキ</t>
    </rPh>
    <rPh sb="8" eb="10">
      <t>コウショウ</t>
    </rPh>
    <rPh sb="11" eb="13">
      <t>セッショウ</t>
    </rPh>
    <rPh sb="14" eb="16">
      <t>エンカツ</t>
    </rPh>
    <rPh sb="17" eb="18">
      <t>オコナ</t>
    </rPh>
    <rPh sb="28" eb="30">
      <t>カンケイ</t>
    </rPh>
    <rPh sb="37" eb="39">
      <t>カンケイ</t>
    </rPh>
    <rPh sb="40" eb="42">
      <t>イジ</t>
    </rPh>
    <rPh sb="43" eb="45">
      <t>コウチク</t>
    </rPh>
    <phoneticPr fontId="29"/>
  </si>
  <si>
    <t>30</t>
  </si>
  <si>
    <t>ステークホルダーそれぞれのニーズを把握し、対応している。</t>
    <rPh sb="17" eb="19">
      <t>ハアク</t>
    </rPh>
    <rPh sb="21" eb="23">
      <t>タイオウ</t>
    </rPh>
    <phoneticPr fontId="29"/>
  </si>
  <si>
    <t>31</t>
  </si>
  <si>
    <t>上級管理職志向</t>
    <rPh sb="0" eb="2">
      <t>ジョウキュウ</t>
    </rPh>
    <rPh sb="2" eb="4">
      <t>カンリ</t>
    </rPh>
    <rPh sb="4" eb="5">
      <t>ショク</t>
    </rPh>
    <rPh sb="5" eb="7">
      <t>シコウ</t>
    </rPh>
    <phoneticPr fontId="29"/>
  </si>
  <si>
    <t>パワハラやセクハラ、また育児休業などの社内対応ルールを正しく理解し、必要がある際には対応できている。</t>
    <rPh sb="12" eb="14">
      <t>イクジ</t>
    </rPh>
    <rPh sb="14" eb="16">
      <t>キュウギョウ</t>
    </rPh>
    <rPh sb="19" eb="21">
      <t>シャナイ</t>
    </rPh>
    <rPh sb="21" eb="23">
      <t>タイオウ</t>
    </rPh>
    <rPh sb="27" eb="28">
      <t>タダ</t>
    </rPh>
    <rPh sb="30" eb="32">
      <t>リカイ</t>
    </rPh>
    <rPh sb="34" eb="36">
      <t>ヒツヨウ</t>
    </rPh>
    <rPh sb="39" eb="40">
      <t>サイ</t>
    </rPh>
    <rPh sb="42" eb="44">
      <t>タイオウ</t>
    </rPh>
    <phoneticPr fontId="29"/>
  </si>
  <si>
    <t>32</t>
  </si>
  <si>
    <t>自己と会社の狭間において、会社やメンバーのことを真剣に考えた言動をとっている。</t>
    <rPh sb="0" eb="2">
      <t>ジコ</t>
    </rPh>
    <rPh sb="3" eb="5">
      <t>カイシャ</t>
    </rPh>
    <rPh sb="6" eb="8">
      <t>ハザマ</t>
    </rPh>
    <rPh sb="13" eb="15">
      <t>カイシャ</t>
    </rPh>
    <rPh sb="24" eb="26">
      <t>シンケン</t>
    </rPh>
    <rPh sb="27" eb="28">
      <t>カンガ</t>
    </rPh>
    <rPh sb="30" eb="32">
      <t>ゲンドウ</t>
    </rPh>
    <phoneticPr fontId="29"/>
  </si>
  <si>
    <t>評定…</t>
    <rPh sb="0" eb="2">
      <t>ヒョウテイ</t>
    </rPh>
    <phoneticPr fontId="29"/>
  </si>
  <si>
    <t>以下の5段階とする</t>
    <rPh sb="0" eb="2">
      <t>イカ</t>
    </rPh>
    <rPh sb="4" eb="6">
      <t>ダンカイ</t>
    </rPh>
    <phoneticPr fontId="29"/>
  </si>
  <si>
    <t>合計点</t>
    <rPh sb="0" eb="2">
      <t>ゴウケイ</t>
    </rPh>
    <rPh sb="2" eb="3">
      <t>テン</t>
    </rPh>
    <phoneticPr fontId="29"/>
  </si>
  <si>
    <t>5点…</t>
    <rPh sb="1" eb="2">
      <t>テン</t>
    </rPh>
    <phoneticPr fontId="29"/>
  </si>
  <si>
    <t>期待を大きく上回っている</t>
    <rPh sb="0" eb="2">
      <t>キタイ</t>
    </rPh>
    <rPh sb="3" eb="4">
      <t>オオ</t>
    </rPh>
    <rPh sb="6" eb="8">
      <t>ウワマワ</t>
    </rPh>
    <phoneticPr fontId="29"/>
  </si>
  <si>
    <t>4点…</t>
    <rPh sb="1" eb="2">
      <t>テン</t>
    </rPh>
    <phoneticPr fontId="29"/>
  </si>
  <si>
    <t>期待を上回っている</t>
    <rPh sb="0" eb="2">
      <t>キタイ</t>
    </rPh>
    <rPh sb="3" eb="5">
      <t>ウワマワ</t>
    </rPh>
    <phoneticPr fontId="29"/>
  </si>
  <si>
    <t>3点…</t>
    <rPh sb="1" eb="2">
      <t>テン</t>
    </rPh>
    <phoneticPr fontId="29"/>
  </si>
  <si>
    <t>ほぼ期待通りである</t>
    <rPh sb="2" eb="4">
      <t>キタイ</t>
    </rPh>
    <rPh sb="4" eb="5">
      <t>ドオ</t>
    </rPh>
    <phoneticPr fontId="29"/>
  </si>
  <si>
    <t>2点…</t>
    <rPh sb="1" eb="2">
      <t>テン</t>
    </rPh>
    <phoneticPr fontId="29"/>
  </si>
  <si>
    <t>期待にいま一歩である</t>
    <rPh sb="0" eb="2">
      <t>キタイ</t>
    </rPh>
    <rPh sb="5" eb="7">
      <t>イッポ</t>
    </rPh>
    <phoneticPr fontId="29"/>
  </si>
  <si>
    <t>1点…</t>
    <rPh sb="1" eb="2">
      <t>テン</t>
    </rPh>
    <phoneticPr fontId="29"/>
  </si>
  <si>
    <t>期待を大きく下回っている</t>
    <rPh sb="0" eb="2">
      <t>キタイ</t>
    </rPh>
    <rPh sb="3" eb="4">
      <t>オオ</t>
    </rPh>
    <rPh sb="6" eb="8">
      <t>シタマワ</t>
    </rPh>
    <phoneticPr fontId="29"/>
  </si>
  <si>
    <t>石田記入</t>
    <rPh sb="0" eb="2">
      <t>イシダ</t>
    </rPh>
    <rPh sb="2" eb="4">
      <t>キニュウ</t>
    </rPh>
    <phoneticPr fontId="16"/>
  </si>
  <si>
    <t>評価シート</t>
    <rPh sb="0" eb="2">
      <t>ヒョウカ</t>
    </rPh>
    <phoneticPr fontId="29"/>
  </si>
  <si>
    <t>環境整備</t>
    <rPh sb="0" eb="2">
      <t>カンキョウ</t>
    </rPh>
    <rPh sb="2" eb="4">
      <t>セイビ</t>
    </rPh>
    <phoneticPr fontId="29"/>
  </si>
  <si>
    <t>報告の適格性</t>
    <rPh sb="0" eb="2">
      <t>ホウコク</t>
    </rPh>
    <rPh sb="3" eb="5">
      <t>テキカク</t>
    </rPh>
    <rPh sb="5" eb="6">
      <t>セイ</t>
    </rPh>
    <phoneticPr fontId="29"/>
  </si>
  <si>
    <t>資材管理</t>
    <rPh sb="0" eb="2">
      <t>シザイ</t>
    </rPh>
    <rPh sb="2" eb="4">
      <t>カンリ</t>
    </rPh>
    <phoneticPr fontId="29"/>
  </si>
  <si>
    <t>担当機器の整備</t>
    <rPh sb="0" eb="2">
      <t>タントウ</t>
    </rPh>
    <rPh sb="2" eb="4">
      <t>キキ</t>
    </rPh>
    <rPh sb="5" eb="7">
      <t>セイビ</t>
    </rPh>
    <phoneticPr fontId="29"/>
  </si>
  <si>
    <t>オペレート技術の向上</t>
    <rPh sb="5" eb="7">
      <t>ギジュツ</t>
    </rPh>
    <rPh sb="8" eb="10">
      <t>コウジョウ</t>
    </rPh>
    <phoneticPr fontId="29"/>
  </si>
  <si>
    <t>準備時間の速度</t>
    <rPh sb="0" eb="2">
      <t>ジュンビ</t>
    </rPh>
    <rPh sb="2" eb="4">
      <t>ジカン</t>
    </rPh>
    <rPh sb="5" eb="7">
      <t>ソクド</t>
    </rPh>
    <phoneticPr fontId="29"/>
  </si>
  <si>
    <t>オペレート技術（対応機種）</t>
    <rPh sb="5" eb="7">
      <t>ギジュツ</t>
    </rPh>
    <rPh sb="8" eb="10">
      <t>タイオウ</t>
    </rPh>
    <rPh sb="10" eb="12">
      <t>キシュ</t>
    </rPh>
    <phoneticPr fontId="29"/>
  </si>
  <si>
    <t>速度（一日の作業量）</t>
    <rPh sb="0" eb="2">
      <t>ソクド</t>
    </rPh>
    <rPh sb="3" eb="5">
      <t>ツイタチ</t>
    </rPh>
    <rPh sb="6" eb="8">
      <t>サギョウ</t>
    </rPh>
    <rPh sb="8" eb="9">
      <t>リョウ</t>
    </rPh>
    <phoneticPr fontId="29"/>
  </si>
  <si>
    <t>正確度</t>
    <rPh sb="0" eb="3">
      <t>セイカクド</t>
    </rPh>
    <phoneticPr fontId="29"/>
  </si>
  <si>
    <t>品質に対する姿勢</t>
    <rPh sb="0" eb="2">
      <t>ヒンシツ</t>
    </rPh>
    <rPh sb="3" eb="4">
      <t>タイ</t>
    </rPh>
    <rPh sb="6" eb="8">
      <t>シセイ</t>
    </rPh>
    <phoneticPr fontId="29"/>
  </si>
  <si>
    <t>業績状況</t>
    <rPh sb="0" eb="2">
      <t>ギョウセキ</t>
    </rPh>
    <rPh sb="2" eb="4">
      <t>ジョウキョウ</t>
    </rPh>
    <phoneticPr fontId="29"/>
  </si>
  <si>
    <t>16の心得の実践</t>
    <rPh sb="3" eb="5">
      <t>ココロエ</t>
    </rPh>
    <rPh sb="6" eb="8">
      <t>ジッセン</t>
    </rPh>
    <phoneticPr fontId="29"/>
  </si>
  <si>
    <t>評価シート（製造部）</t>
    <rPh sb="0" eb="2">
      <t>ヒョウカ</t>
    </rPh>
    <rPh sb="6" eb="8">
      <t>セイゾウ</t>
    </rPh>
    <rPh sb="8" eb="9">
      <t>ブ</t>
    </rPh>
    <phoneticPr fontId="29"/>
  </si>
  <si>
    <t>合計</t>
    <rPh sb="0" eb="2">
      <t>ゴウケイ</t>
    </rPh>
    <phoneticPr fontId="35"/>
  </si>
  <si>
    <t>小計</t>
    <rPh sb="0" eb="2">
      <t>ショウケイ</t>
    </rPh>
    <phoneticPr fontId="35"/>
  </si>
  <si>
    <t>コミュニケーション</t>
  </si>
  <si>
    <t>積極性</t>
    <rPh sb="0" eb="3">
      <t>セッキョク</t>
    </rPh>
    <phoneticPr fontId="35"/>
  </si>
  <si>
    <t>活動状況</t>
    <phoneticPr fontId="20"/>
  </si>
  <si>
    <t>業績状況</t>
    <phoneticPr fontId="20"/>
  </si>
  <si>
    <t>16の心得の実践</t>
    <rPh sb="3" eb="5">
      <t>ココロ</t>
    </rPh>
    <rPh sb="6" eb="8">
      <t>ジッセn</t>
    </rPh>
    <phoneticPr fontId="35"/>
  </si>
  <si>
    <t>社会行動</t>
    <rPh sb="0" eb="1">
      <t>シャカイ</t>
    </rPh>
    <phoneticPr fontId="35"/>
  </si>
  <si>
    <t>社内ルールの遵守</t>
    <rPh sb="0" eb="2">
      <t>シャナイル-</t>
    </rPh>
    <phoneticPr fontId="35"/>
  </si>
  <si>
    <t>協調性</t>
    <rPh sb="0" eb="3">
      <t>キョウチョウセイ</t>
    </rPh>
    <phoneticPr fontId="35"/>
  </si>
  <si>
    <t>責任感</t>
    <rPh sb="0" eb="3">
      <t>セキニn</t>
    </rPh>
    <phoneticPr fontId="35"/>
  </si>
  <si>
    <t>規律性</t>
    <rPh sb="0" eb="3">
      <t>キリテゥ</t>
    </rPh>
    <phoneticPr fontId="35"/>
  </si>
  <si>
    <t>勤務状況</t>
    <phoneticPr fontId="20"/>
  </si>
  <si>
    <t>配点</t>
    <rPh sb="0" eb="2">
      <t>ハイテn</t>
    </rPh>
    <phoneticPr fontId="35"/>
  </si>
  <si>
    <t>評価項目案</t>
    <rPh sb="0" eb="5">
      <t>ヒョウ</t>
    </rPh>
    <phoneticPr fontId="35"/>
  </si>
  <si>
    <t>2024.03〜2024.08</t>
    <phoneticPr fontId="20"/>
  </si>
  <si>
    <t>事業推進</t>
    <rPh sb="0" eb="4">
      <t>ジギョウ</t>
    </rPh>
    <phoneticPr fontId="20"/>
  </si>
  <si>
    <t>その他行動（期待値）</t>
    <rPh sb="6" eb="9">
      <t>キタイ</t>
    </rPh>
    <phoneticPr fontId="35"/>
  </si>
  <si>
    <t>業務領域の拡張</t>
    <rPh sb="0" eb="4">
      <t>ギョウ</t>
    </rPh>
    <phoneticPr fontId="35"/>
  </si>
  <si>
    <t>企画案件（コンペ）</t>
    <rPh sb="0" eb="4">
      <t>キカク</t>
    </rPh>
    <phoneticPr fontId="35"/>
  </si>
  <si>
    <t>時間・スケジュールの管理・計画</t>
    <rPh sb="0" eb="2">
      <t>ジカn</t>
    </rPh>
    <rPh sb="13" eb="15">
      <t>ケイカク</t>
    </rPh>
    <phoneticPr fontId="35"/>
  </si>
  <si>
    <t>技術力・デザイン力</t>
    <rPh sb="0" eb="3">
      <t>ギジュテゥ</t>
    </rPh>
    <phoneticPr fontId="35"/>
  </si>
  <si>
    <t>業務遂行（責任感）</t>
    <rPh sb="0" eb="4">
      <t>ギョウムスイク</t>
    </rPh>
    <phoneticPr fontId="35"/>
  </si>
  <si>
    <t>個人目標達成状況</t>
    <rPh sb="0" eb="2">
      <t>コジn</t>
    </rPh>
    <rPh sb="2" eb="8">
      <t>モクヒョウ</t>
    </rPh>
    <phoneticPr fontId="35"/>
  </si>
  <si>
    <t>デザインチーム</t>
    <phoneticPr fontId="20"/>
  </si>
  <si>
    <t>企画制作</t>
    <rPh sb="0" eb="4">
      <t>キカク</t>
    </rPh>
    <phoneticPr fontId="20"/>
  </si>
  <si>
    <t>印刷・制作の理解力</t>
    <rPh sb="0" eb="2">
      <t>インサテゥ</t>
    </rPh>
    <rPh sb="3" eb="5">
      <t>セイサク</t>
    </rPh>
    <phoneticPr fontId="35"/>
  </si>
  <si>
    <t>オペレート技術</t>
  </si>
  <si>
    <t>外注手配チーム</t>
    <rPh sb="0" eb="4">
      <t>ガイチュウ</t>
    </rPh>
    <phoneticPr fontId="20"/>
  </si>
  <si>
    <t>第三者校正の精度</t>
    <rPh sb="0" eb="5">
      <t>ダイサn</t>
    </rPh>
    <rPh sb="6" eb="8">
      <t>セイド</t>
    </rPh>
    <phoneticPr fontId="35"/>
  </si>
  <si>
    <t>第三者・小物</t>
    <rPh sb="0" eb="3">
      <t>ダイサn</t>
    </rPh>
    <rPh sb="4" eb="6">
      <t>コモノ</t>
    </rPh>
    <phoneticPr fontId="20"/>
  </si>
  <si>
    <t>業務改善の意識・活動</t>
    <rPh sb="0" eb="4">
      <t>ギョウ</t>
    </rPh>
    <rPh sb="5" eb="7">
      <t>イシキ</t>
    </rPh>
    <rPh sb="8" eb="10">
      <t>カツドウ</t>
    </rPh>
    <phoneticPr fontId="35"/>
  </si>
  <si>
    <t>積極的なサポート姿勢</t>
    <rPh sb="0" eb="3">
      <t>セッキョク</t>
    </rPh>
    <phoneticPr fontId="35"/>
  </si>
  <si>
    <t>データ収集の正確性</t>
    <rPh sb="6" eb="9">
      <t>セイカク</t>
    </rPh>
    <phoneticPr fontId="35"/>
  </si>
  <si>
    <t>外注手配・見積依頼の正確性</t>
    <rPh sb="0" eb="4">
      <t>ガイチュウ</t>
    </rPh>
    <rPh sb="5" eb="9">
      <t>ミツモリ</t>
    </rPh>
    <rPh sb="10" eb="13">
      <t>セイカク</t>
    </rPh>
    <phoneticPr fontId="35"/>
  </si>
  <si>
    <t>社内他部署との交渉力・調整力</t>
    <rPh sb="0" eb="2">
      <t>シャナイ</t>
    </rPh>
    <rPh sb="2" eb="3">
      <t xml:space="preserve">ホカ </t>
    </rPh>
    <rPh sb="3" eb="5">
      <t>ブセィオ</t>
    </rPh>
    <rPh sb="11" eb="14">
      <t>チョウセイ</t>
    </rPh>
    <phoneticPr fontId="35"/>
  </si>
  <si>
    <t>協力会社との交渉力・調整力</t>
    <rPh sb="0" eb="4">
      <t>キョウリョク</t>
    </rPh>
    <rPh sb="6" eb="9">
      <t>コウショウ</t>
    </rPh>
    <rPh sb="10" eb="12">
      <t>チョウセイ</t>
    </rPh>
    <rPh sb="12" eb="13">
      <t>ショウセイ</t>
    </rPh>
    <phoneticPr fontId="35"/>
  </si>
  <si>
    <t>個人目標達成状況</t>
    <rPh sb="0" eb="2">
      <t>コジn</t>
    </rPh>
    <rPh sb="4" eb="8">
      <t>タッセイ</t>
    </rPh>
    <phoneticPr fontId="35"/>
  </si>
  <si>
    <t>進行管理</t>
    <rPh sb="0" eb="4">
      <t>シンコウ</t>
    </rPh>
    <phoneticPr fontId="20"/>
  </si>
  <si>
    <t>管理職評価</t>
    <rPh sb="0" eb="2">
      <t>カンリ</t>
    </rPh>
    <rPh sb="2" eb="3">
      <t>ショク</t>
    </rPh>
    <rPh sb="3" eb="5">
      <t>ヒョウカ</t>
    </rPh>
    <phoneticPr fontId="29"/>
  </si>
  <si>
    <t>事故発生件数</t>
    <rPh sb="0" eb="2">
      <t>ジコ</t>
    </rPh>
    <rPh sb="2" eb="4">
      <t>ハッセイ</t>
    </rPh>
    <rPh sb="4" eb="6">
      <t>ケンスウ</t>
    </rPh>
    <phoneticPr fontId="16"/>
  </si>
  <si>
    <t>無事故の加算</t>
    <rPh sb="0" eb="3">
      <t>ムジコ</t>
    </rPh>
    <rPh sb="4" eb="6">
      <t>カサン</t>
    </rPh>
    <phoneticPr fontId="16"/>
  </si>
  <si>
    <t>事故発生件数による加減点</t>
    <rPh sb="0" eb="2">
      <t>ジコ</t>
    </rPh>
    <rPh sb="2" eb="4">
      <t>ハッセイ</t>
    </rPh>
    <rPh sb="4" eb="6">
      <t>ケンスウ</t>
    </rPh>
    <rPh sb="9" eb="11">
      <t>カゲン</t>
    </rPh>
    <rPh sb="11" eb="12">
      <t>テン</t>
    </rPh>
    <phoneticPr fontId="16"/>
  </si>
  <si>
    <t>上記を含めた合計ポイント</t>
    <phoneticPr fontId="16"/>
  </si>
  <si>
    <t>最終ポイント</t>
    <phoneticPr fontId="16"/>
  </si>
  <si>
    <t>確定評価</t>
    <phoneticPr fontId="16"/>
  </si>
  <si>
    <t>管理者評価</t>
    <phoneticPr fontId="16"/>
  </si>
  <si>
    <r>
      <t>換算</t>
    </r>
    <r>
      <rPr>
        <b/>
        <sz val="10"/>
        <rFont val="メイリオ"/>
        <family val="3"/>
        <charset val="128"/>
      </rPr>
      <t>（100％）</t>
    </r>
    <rPh sb="0" eb="1">
      <t>カン</t>
    </rPh>
    <rPh sb="1" eb="2">
      <t>サン</t>
    </rPh>
    <phoneticPr fontId="16"/>
  </si>
  <si>
    <t>管理者評価ウエイト</t>
    <rPh sb="0" eb="3">
      <t>カンリシャ</t>
    </rPh>
    <rPh sb="3" eb="5">
      <t>ヒョウカ</t>
    </rPh>
    <phoneticPr fontId="16"/>
  </si>
  <si>
    <t>管理者加点</t>
    <rPh sb="0" eb="3">
      <t>カンリシャ</t>
    </rPh>
    <rPh sb="3" eb="5">
      <t>カテン</t>
    </rPh>
    <phoneticPr fontId="16"/>
  </si>
  <si>
    <t>管理者評価ウエイト</t>
    <phoneticPr fontId="16"/>
  </si>
  <si>
    <t>管理割合による評価点</t>
    <phoneticPr fontId="16"/>
  </si>
  <si>
    <t>100点換算（75点）</t>
    <rPh sb="3" eb="4">
      <t>テン</t>
    </rPh>
    <rPh sb="4" eb="6">
      <t>カンサン</t>
    </rPh>
    <rPh sb="9" eb="10">
      <t>テン</t>
    </rPh>
    <phoneticPr fontId="16"/>
  </si>
  <si>
    <t>評価合計（75点）</t>
    <rPh sb="0" eb="2">
      <t>ヒョウカ</t>
    </rPh>
    <rPh sb="2" eb="4">
      <t>ゴウケイ</t>
    </rPh>
    <rPh sb="7" eb="8">
      <t>テン</t>
    </rPh>
    <phoneticPr fontId="29"/>
  </si>
  <si>
    <t>営業G</t>
    <rPh sb="0" eb="2">
      <t>エイギョウ</t>
    </rPh>
    <phoneticPr fontId="20"/>
  </si>
  <si>
    <t>進行管理G</t>
    <rPh sb="0" eb="2">
      <t>シンコウ</t>
    </rPh>
    <rPh sb="2" eb="4">
      <t>カンリ</t>
    </rPh>
    <phoneticPr fontId="16"/>
  </si>
  <si>
    <t>業務推進室</t>
    <rPh sb="0" eb="2">
      <t>ギョウム</t>
    </rPh>
    <rPh sb="2" eb="4">
      <t>スイシン</t>
    </rPh>
    <rPh sb="4" eb="5">
      <t>シツ</t>
    </rPh>
    <phoneticPr fontId="16"/>
  </si>
  <si>
    <t>企画制作G</t>
    <rPh sb="0" eb="2">
      <t>キカク</t>
    </rPh>
    <rPh sb="2" eb="4">
      <t>セイサク</t>
    </rPh>
    <phoneticPr fontId="20"/>
  </si>
  <si>
    <t>製造部</t>
    <rPh sb="0" eb="2">
      <t>セイゾウ</t>
    </rPh>
    <rPh sb="2" eb="3">
      <t>ブ</t>
    </rPh>
    <phoneticPr fontId="20"/>
  </si>
  <si>
    <t>アグリ事業部</t>
    <rPh sb="3" eb="5">
      <t>ジギョウ</t>
    </rPh>
    <rPh sb="5" eb="6">
      <t>ブ</t>
    </rPh>
    <phoneticPr fontId="16"/>
  </si>
  <si>
    <t>営業</t>
    <rPh sb="0" eb="2">
      <t>エイギョウ</t>
    </rPh>
    <phoneticPr fontId="16"/>
  </si>
  <si>
    <t>SMGR</t>
    <phoneticPr fontId="16"/>
  </si>
  <si>
    <t>MGR</t>
    <phoneticPr fontId="20"/>
  </si>
  <si>
    <t>GL</t>
    <phoneticPr fontId="20"/>
  </si>
  <si>
    <t>75点以上</t>
    <rPh sb="2" eb="3">
      <t>テン</t>
    </rPh>
    <rPh sb="3" eb="5">
      <t>イジョウ</t>
    </rPh>
    <phoneticPr fontId="20"/>
  </si>
  <si>
    <t>S</t>
    <phoneticPr fontId="20"/>
  </si>
  <si>
    <t>70点以上</t>
    <phoneticPr fontId="20"/>
  </si>
  <si>
    <t>A+</t>
    <phoneticPr fontId="20"/>
  </si>
  <si>
    <t>65点以上</t>
    <phoneticPr fontId="20"/>
  </si>
  <si>
    <t>A</t>
    <phoneticPr fontId="20"/>
  </si>
  <si>
    <t>B+</t>
    <phoneticPr fontId="20"/>
  </si>
  <si>
    <t>50点以上</t>
    <phoneticPr fontId="20"/>
  </si>
  <si>
    <t>B</t>
    <phoneticPr fontId="20"/>
  </si>
  <si>
    <t>45点未満</t>
    <phoneticPr fontId="20"/>
  </si>
  <si>
    <t xml:space="preserve">管理職評価（配分：評価３　毎月の取組み１） </t>
    <rPh sb="0" eb="2">
      <t>カンリ</t>
    </rPh>
    <rPh sb="2" eb="3">
      <t>ショク</t>
    </rPh>
    <rPh sb="3" eb="5">
      <t>ヒョウカ</t>
    </rPh>
    <rPh sb="6" eb="8">
      <t>ハイブン</t>
    </rPh>
    <phoneticPr fontId="16"/>
  </si>
  <si>
    <t>毎月の取組結果（点数換算）</t>
    <rPh sb="0" eb="2">
      <t>マイツキ</t>
    </rPh>
    <rPh sb="3" eb="5">
      <t>トリクミ</t>
    </rPh>
    <rPh sb="5" eb="7">
      <t>ケッカ</t>
    </rPh>
    <rPh sb="8" eb="10">
      <t>テンスウ</t>
    </rPh>
    <rPh sb="10" eb="12">
      <t>カンサン</t>
    </rPh>
    <phoneticPr fontId="16"/>
  </si>
  <si>
    <t>100点
換算</t>
    <rPh sb="3" eb="4">
      <t>テン</t>
    </rPh>
    <rPh sb="5" eb="7">
      <t>カンサン</t>
    </rPh>
    <phoneticPr fontId="16"/>
  </si>
  <si>
    <t>C</t>
    <phoneticPr fontId="16"/>
  </si>
  <si>
    <t>管理職評価</t>
    <rPh sb="0" eb="2">
      <t>カンリ</t>
    </rPh>
    <rPh sb="2" eb="3">
      <t>ショク</t>
    </rPh>
    <rPh sb="3" eb="5">
      <t>ヒョウカ</t>
    </rPh>
    <phoneticPr fontId="16"/>
  </si>
  <si>
    <t>進行管理</t>
    <rPh sb="0" eb="2">
      <t>シンコウ</t>
    </rPh>
    <rPh sb="2" eb="4">
      <t>カンリ</t>
    </rPh>
    <phoneticPr fontId="16"/>
  </si>
  <si>
    <t>C+</t>
    <phoneticPr fontId="16"/>
  </si>
  <si>
    <t>毎月の取組</t>
    <rPh sb="0" eb="2">
      <t>マイツキ</t>
    </rPh>
    <rPh sb="3" eb="5">
      <t>トリク</t>
    </rPh>
    <phoneticPr fontId="16"/>
  </si>
  <si>
    <t>企画制作</t>
    <rPh sb="0" eb="2">
      <t>キカク</t>
    </rPh>
    <rPh sb="2" eb="4">
      <t>セイサク</t>
    </rPh>
    <phoneticPr fontId="16"/>
  </si>
  <si>
    <t>製造部</t>
    <rPh sb="0" eb="2">
      <t>セイゾウ</t>
    </rPh>
    <rPh sb="2" eb="3">
      <t>ブ</t>
    </rPh>
    <phoneticPr fontId="16"/>
  </si>
  <si>
    <t>D</t>
    <phoneticPr fontId="16"/>
  </si>
  <si>
    <t>■管理職査定　集計結果配点表</t>
    <rPh sb="1" eb="3">
      <t>カンリ</t>
    </rPh>
    <rPh sb="3" eb="4">
      <t>ショク</t>
    </rPh>
    <phoneticPr fontId="16"/>
  </si>
  <si>
    <t>獲得
点数</t>
    <rPh sb="0" eb="2">
      <t>カクトク</t>
    </rPh>
    <rPh sb="3" eb="5">
      <t>テンスウ</t>
    </rPh>
    <phoneticPr fontId="20"/>
  </si>
  <si>
    <t>管理職
レベル</t>
    <rPh sb="0" eb="2">
      <t>カンリ</t>
    </rPh>
    <rPh sb="2" eb="3">
      <t>ショク</t>
    </rPh>
    <phoneticPr fontId="20"/>
  </si>
  <si>
    <t>等級</t>
    <rPh sb="0" eb="2">
      <t>トウキュウ</t>
    </rPh>
    <phoneticPr fontId="20"/>
  </si>
  <si>
    <t>評価
配点</t>
    <rPh sb="0" eb="2">
      <t>ヒョウカ</t>
    </rPh>
    <rPh sb="3" eb="5">
      <t>ハイテン</t>
    </rPh>
    <phoneticPr fontId="16"/>
  </si>
  <si>
    <t>80点以上</t>
    <rPh sb="2" eb="3">
      <t>テン</t>
    </rPh>
    <rPh sb="3" eb="5">
      <t>イジョウ</t>
    </rPh>
    <phoneticPr fontId="20"/>
  </si>
  <si>
    <t>SS</t>
    <phoneticPr fontId="16"/>
  </si>
  <si>
    <t>Mgr</t>
    <phoneticPr fontId="16"/>
  </si>
  <si>
    <t>S</t>
    <phoneticPr fontId="16"/>
  </si>
  <si>
    <t>70点以上</t>
    <rPh sb="2" eb="3">
      <t>テン</t>
    </rPh>
    <rPh sb="3" eb="5">
      <t>イジョウ</t>
    </rPh>
    <phoneticPr fontId="20"/>
  </si>
  <si>
    <t>Ａ＋＋</t>
    <phoneticPr fontId="20"/>
  </si>
  <si>
    <t>A＋</t>
    <phoneticPr fontId="20"/>
  </si>
  <si>
    <t>60点以上</t>
    <phoneticPr fontId="20"/>
  </si>
  <si>
    <t>55点以上</t>
    <phoneticPr fontId="20"/>
  </si>
  <si>
    <t>Ｂ＋＋</t>
    <phoneticPr fontId="20"/>
  </si>
  <si>
    <t>Ｂ＋</t>
    <phoneticPr fontId="20"/>
  </si>
  <si>
    <r>
      <t>45点以上</t>
    </r>
    <r>
      <rPr>
        <sz val="9"/>
        <color rgb="FF1F497D"/>
        <rFont val="ＭＳ ゴシック"/>
        <family val="3"/>
        <charset val="128"/>
      </rPr>
      <t/>
    </r>
  </si>
  <si>
    <t>GL補
サブ
リーダー</t>
    <rPh sb="2" eb="3">
      <t>ホ</t>
    </rPh>
    <phoneticPr fontId="20"/>
  </si>
  <si>
    <r>
      <t>40点以上</t>
    </r>
    <r>
      <rPr>
        <sz val="9"/>
        <color rgb="FF1F497D"/>
        <rFont val="ＭＳ ゴシック"/>
        <family val="3"/>
        <charset val="128"/>
      </rPr>
      <t/>
    </r>
  </si>
  <si>
    <t>C＋＋</t>
    <phoneticPr fontId="20"/>
  </si>
  <si>
    <r>
      <t>35点以上</t>
    </r>
    <r>
      <rPr>
        <sz val="9"/>
        <color rgb="FF1F497D"/>
        <rFont val="ＭＳ ゴシック"/>
        <family val="3"/>
        <charset val="128"/>
      </rPr>
      <t/>
    </r>
  </si>
  <si>
    <r>
      <t>30点以上</t>
    </r>
    <r>
      <rPr>
        <sz val="9"/>
        <color rgb="FF1F497D"/>
        <rFont val="ＭＳ ゴシック"/>
        <family val="3"/>
        <charset val="128"/>
      </rPr>
      <t/>
    </r>
  </si>
  <si>
    <r>
      <t>25点以上</t>
    </r>
    <r>
      <rPr>
        <sz val="9"/>
        <color rgb="FF1F497D"/>
        <rFont val="ＭＳ ゴシック"/>
        <family val="3"/>
        <charset val="128"/>
      </rPr>
      <t/>
    </r>
  </si>
  <si>
    <t>GL補
候補</t>
    <rPh sb="2" eb="3">
      <t>ホ</t>
    </rPh>
    <rPh sb="4" eb="6">
      <t>コウホ</t>
    </rPh>
    <phoneticPr fontId="20"/>
  </si>
  <si>
    <r>
      <t>20点以上</t>
    </r>
    <r>
      <rPr>
        <sz val="9"/>
        <color rgb="FF1F497D"/>
        <rFont val="ＭＳ ゴシック"/>
        <family val="3"/>
        <charset val="128"/>
      </rPr>
      <t/>
    </r>
  </si>
  <si>
    <t>2024夏</t>
    <rPh sb="4" eb="5">
      <t>ナツ</t>
    </rPh>
    <phoneticPr fontId="20"/>
  </si>
  <si>
    <t>辻記入</t>
    <rPh sb="0" eb="1">
      <t>ツジ</t>
    </rPh>
    <rPh sb="1" eb="3">
      <t>キニュウ</t>
    </rPh>
    <phoneticPr fontId="29"/>
  </si>
  <si>
    <t>石田記入</t>
    <rPh sb="0" eb="4">
      <t>イシダ</t>
    </rPh>
    <phoneticPr fontId="16"/>
  </si>
  <si>
    <t>辻記入</t>
    <rPh sb="0" eb="3">
      <t>ツジキン</t>
    </rPh>
    <phoneticPr fontId="29"/>
  </si>
  <si>
    <t>石田記入</t>
    <rPh sb="0" eb="4">
      <t>イシダキン</t>
    </rPh>
    <phoneticPr fontId="29"/>
  </si>
  <si>
    <t>2024.09〜2025.02</t>
    <phoneticPr fontId="20"/>
  </si>
  <si>
    <t>経理</t>
    <phoneticPr fontId="20"/>
  </si>
  <si>
    <t>経理業務（電子請求、支払い集計、納品書（売上））</t>
    <rPh sb="0" eb="2">
      <t>ウリアゲ</t>
    </rPh>
    <rPh sb="2" eb="4">
      <t>ジョウキョウ</t>
    </rPh>
    <rPh sb="5" eb="8">
      <t>ゼンネンヒ</t>
    </rPh>
    <phoneticPr fontId="25"/>
  </si>
  <si>
    <t>業務改善（コスト削減、残業時間、補助金申請、各種取得関係）</t>
    <rPh sb="0" eb="2">
      <t>ウリアゲ</t>
    </rPh>
    <rPh sb="2" eb="4">
      <t>ジョウキョウ</t>
    </rPh>
    <rPh sb="5" eb="7">
      <t>モクヒョウ</t>
    </rPh>
    <rPh sb="7" eb="8">
      <t>ヒ</t>
    </rPh>
    <phoneticPr fontId="25"/>
  </si>
  <si>
    <t>社内対応（コミュニケーション、社内環境）</t>
    <rPh sb="0" eb="2">
      <t>シンキ</t>
    </rPh>
    <rPh sb="2" eb="4">
      <t>コキャク</t>
    </rPh>
    <rPh sb="4" eb="6">
      <t>カクトク</t>
    </rPh>
    <phoneticPr fontId="25"/>
  </si>
  <si>
    <t>勤怠管理</t>
    <rPh sb="0" eb="2">
      <t>シュヨウ</t>
    </rPh>
    <rPh sb="2" eb="4">
      <t>コキャクホウモン</t>
    </rPh>
    <phoneticPr fontId="25"/>
  </si>
  <si>
    <t>社員の健康管理（健康診断、社会保険関係）</t>
    <rPh sb="0" eb="2">
      <t>ミツ</t>
    </rPh>
    <rPh sb="2" eb="4">
      <t>カクニン</t>
    </rPh>
    <rPh sb="5" eb="7">
      <t>アトオ</t>
    </rPh>
    <phoneticPr fontId="25"/>
  </si>
  <si>
    <t>社長業務サポート</t>
    <rPh sb="0" eb="2">
      <t>ミツモリ</t>
    </rPh>
    <rPh sb="2" eb="4">
      <t>ナイヨウ</t>
    </rPh>
    <rPh sb="5" eb="7">
      <t>ジョウホウシュウシュウジョウシホウレンソウ</t>
    </rPh>
    <phoneticPr fontId="25"/>
  </si>
  <si>
    <t>顧客対応（来社・電話）</t>
    <rPh sb="1" eb="2">
      <t>ト</t>
    </rPh>
    <rPh sb="3" eb="4">
      <t>ク</t>
    </rPh>
    <rPh sb="7" eb="9">
      <t>シセイ</t>
    </rPh>
    <phoneticPr fontId="25"/>
  </si>
  <si>
    <t>総務</t>
    <phoneticPr fontId="16"/>
  </si>
  <si>
    <t>庶務</t>
    <phoneticPr fontId="16"/>
  </si>
  <si>
    <t>石田常務</t>
    <rPh sb="0" eb="4">
      <t>イシダ</t>
    </rPh>
    <phoneticPr fontId="16"/>
  </si>
  <si>
    <t>池本</t>
    <rPh sb="0" eb="2">
      <t>イケモト</t>
    </rPh>
    <phoneticPr fontId="16"/>
  </si>
  <si>
    <t>宮治</t>
    <rPh sb="0" eb="2">
      <t>ミヤジ</t>
    </rPh>
    <phoneticPr fontId="16"/>
  </si>
  <si>
    <t>C</t>
  </si>
  <si>
    <t>B</t>
  </si>
  <si>
    <t>A</t>
  </si>
  <si>
    <t>D</t>
  </si>
  <si>
    <t>事業推進</t>
    <rPh sb="0" eb="4">
      <t>ジギョウスイス</t>
    </rPh>
    <phoneticPr fontId="16"/>
  </si>
  <si>
    <t>C-</t>
    <phoneticPr fontId="16"/>
  </si>
  <si>
    <t>B+</t>
    <phoneticPr fontId="16"/>
  </si>
  <si>
    <t>2025春</t>
    <rPh sb="4" eb="5">
      <t>ハル</t>
    </rPh>
    <phoneticPr fontId="16"/>
  </si>
  <si>
    <t>総務</t>
    <rPh sb="0" eb="1">
      <t>ソウム</t>
    </rPh>
    <phoneticPr fontId="20"/>
  </si>
  <si>
    <t>上司評価</t>
    <rPh sb="0" eb="4">
      <t>ジョウ</t>
    </rPh>
    <phoneticPr fontId="29"/>
  </si>
  <si>
    <t>常務評価</t>
    <rPh sb="0" eb="2">
      <t>ジョウ</t>
    </rPh>
    <rPh sb="2" eb="4">
      <t>ヒョウ</t>
    </rPh>
    <phoneticPr fontId="29"/>
  </si>
  <si>
    <t>3月</t>
    <rPh sb="1" eb="2">
      <t>ガテゥ</t>
    </rPh>
    <phoneticPr fontId="16"/>
  </si>
  <si>
    <t>4月</t>
    <rPh sb="1" eb="2">
      <t>ガテゥ</t>
    </rPh>
    <phoneticPr fontId="16"/>
  </si>
  <si>
    <t>５月</t>
    <phoneticPr fontId="16"/>
  </si>
  <si>
    <t>６月</t>
    <rPh sb="1" eb="2">
      <t>ガテゥ</t>
    </rPh>
    <phoneticPr fontId="16"/>
  </si>
  <si>
    <t>7月</t>
    <rPh sb="1" eb="2">
      <t>ガテゥ</t>
    </rPh>
    <phoneticPr fontId="16"/>
  </si>
  <si>
    <t>8月</t>
    <rPh sb="1" eb="2">
      <t>ガテゥ</t>
    </rPh>
    <phoneticPr fontId="16"/>
  </si>
  <si>
    <t>C+</t>
  </si>
  <si>
    <t>2025夏</t>
    <rPh sb="4" eb="5">
      <t>ナテゥ</t>
    </rPh>
    <phoneticPr fontId="16"/>
  </si>
  <si>
    <t>顧客からのクレーム</t>
    <rPh sb="0" eb="2">
      <t>コキャク</t>
    </rPh>
    <phoneticPr fontId="16"/>
  </si>
  <si>
    <t>顧客への積極性（声かけなど）</t>
    <rPh sb="0" eb="1">
      <t>コキャク</t>
    </rPh>
    <rPh sb="4" eb="7">
      <t>セッキョク</t>
    </rPh>
    <rPh sb="8" eb="9">
      <t>コエ</t>
    </rPh>
    <phoneticPr fontId="16"/>
  </si>
  <si>
    <t>安全運転</t>
    <rPh sb="0" eb="4">
      <t>アンゼn</t>
    </rPh>
    <phoneticPr fontId="16"/>
  </si>
  <si>
    <t>商品の取り扱い</t>
    <rPh sb="0" eb="2">
      <t>ショウヒn</t>
    </rPh>
    <phoneticPr fontId="16"/>
  </si>
  <si>
    <t>営業姿勢</t>
    <rPh sb="0" eb="4">
      <t>エイギョウ</t>
    </rPh>
    <phoneticPr fontId="16"/>
  </si>
  <si>
    <t>上司への報告連絡相談</t>
    <rPh sb="0" eb="2">
      <t>ジョウ</t>
    </rPh>
    <rPh sb="4" eb="6">
      <t>ホウコク</t>
    </rPh>
    <rPh sb="6" eb="8">
      <t>レンラク</t>
    </rPh>
    <rPh sb="8" eb="10">
      <t>ソウダn</t>
    </rPh>
    <phoneticPr fontId="16"/>
  </si>
  <si>
    <t>個人目標達成状況</t>
    <rPh sb="0" eb="8">
      <t>コジn</t>
    </rPh>
    <phoneticPr fontId="1"/>
  </si>
  <si>
    <t>業務遂行（責任感）</t>
    <rPh sb="0" eb="2">
      <t>ギョウムニテ</t>
    </rPh>
    <rPh sb="2" eb="4">
      <t>スイコウ</t>
    </rPh>
    <phoneticPr fontId="1"/>
  </si>
  <si>
    <t>領域の拡張</t>
    <rPh sb="0" eb="4">
      <t>ギョウムス</t>
    </rPh>
    <phoneticPr fontId="1"/>
  </si>
  <si>
    <t>時間・スケジュールの管理・計画</t>
    <rPh sb="0" eb="2">
      <t>ジカn</t>
    </rPh>
    <rPh sb="10" eb="12">
      <t>カンリ</t>
    </rPh>
    <rPh sb="13" eb="15">
      <t>ケイカク</t>
    </rPh>
    <phoneticPr fontId="1"/>
  </si>
  <si>
    <t>積極性</t>
    <rPh sb="0" eb="1">
      <t>セッキョク</t>
    </rPh>
    <phoneticPr fontId="2"/>
  </si>
  <si>
    <t>企画提案力</t>
    <rPh sb="4" eb="5">
      <t>リョク</t>
    </rPh>
    <phoneticPr fontId="2"/>
  </si>
  <si>
    <t>コミュニケーション</t>
    <rPh sb="0" eb="2">
      <t>ガイチュウ</t>
    </rPh>
    <rPh sb="2" eb="4">
      <t>テハイ</t>
    </rPh>
    <rPh sb="5" eb="7">
      <t>ミツモリイライセイカク</t>
    </rPh>
    <phoneticPr fontId="1"/>
  </si>
  <si>
    <t>チームワークの項目がない</t>
    <rPh sb="7" eb="9">
      <t>コウモクグ</t>
    </rPh>
    <phoneticPr fontId="16"/>
  </si>
  <si>
    <t>SMGR</t>
    <phoneticPr fontId="16"/>
  </si>
  <si>
    <t>メンバ</t>
    <phoneticPr fontId="16"/>
  </si>
  <si>
    <t>57点以上</t>
    <phoneticPr fontId="20"/>
  </si>
  <si>
    <t>50点未満</t>
    <phoneticPr fontId="20"/>
  </si>
  <si>
    <t>C+</t>
    <phoneticPr fontId="20"/>
  </si>
  <si>
    <t>C</t>
    <phoneticPr fontId="20"/>
  </si>
  <si>
    <t>2025年夏</t>
    <rPh sb="4" eb="5">
      <t>ネン</t>
    </rPh>
    <rPh sb="5" eb="6">
      <t>ナツ</t>
    </rPh>
    <phoneticPr fontId="16"/>
  </si>
  <si>
    <t>2025年春</t>
    <rPh sb="4" eb="5">
      <t>ネン</t>
    </rPh>
    <rPh sb="5" eb="6">
      <t>ハル</t>
    </rPh>
    <phoneticPr fontId="16"/>
  </si>
  <si>
    <t>GL</t>
    <phoneticPr fontId="20"/>
  </si>
  <si>
    <t>A</t>
    <phoneticPr fontId="20"/>
  </si>
  <si>
    <t>55点以上</t>
    <phoneticPr fontId="20"/>
  </si>
  <si>
    <t>Ｂ＋＋</t>
    <phoneticPr fontId="20"/>
  </si>
  <si>
    <t>Ｂ＋</t>
    <phoneticPr fontId="20"/>
  </si>
  <si>
    <t>Ｂ</t>
    <phoneticPr fontId="20"/>
  </si>
  <si>
    <t>C＋＋</t>
    <phoneticPr fontId="20"/>
  </si>
  <si>
    <t>C＋</t>
    <phoneticPr fontId="16"/>
  </si>
  <si>
    <t>C＋</t>
    <phoneticPr fontId="16"/>
  </si>
  <si>
    <t>C</t>
    <phoneticPr fontId="16"/>
  </si>
  <si>
    <t>５月</t>
    <phoneticPr fontId="16"/>
  </si>
  <si>
    <t>C+</t>
    <phoneticPr fontId="20"/>
  </si>
  <si>
    <t>C+</t>
    <phoneticPr fontId="16"/>
  </si>
  <si>
    <t>C</t>
    <phoneticPr fontId="16"/>
  </si>
  <si>
    <t>D</t>
    <phoneticPr fontId="20"/>
  </si>
  <si>
    <t>C</t>
    <phoneticPr fontId="16"/>
  </si>
  <si>
    <t>C</t>
    <phoneticPr fontId="16"/>
  </si>
  <si>
    <t>C</t>
    <phoneticPr fontId="20"/>
  </si>
  <si>
    <t>B-</t>
    <phoneticPr fontId="16"/>
  </si>
  <si>
    <t>生産量</t>
    <rPh sb="0" eb="3">
      <t>セイサンル</t>
    </rPh>
    <phoneticPr fontId="29"/>
  </si>
  <si>
    <t>職場環境</t>
    <rPh sb="0" eb="4">
      <t>ショクバ</t>
    </rPh>
    <phoneticPr fontId="16"/>
  </si>
  <si>
    <t>社内生産率の向上</t>
    <rPh sb="0" eb="3">
      <t>セイカクド</t>
    </rPh>
    <phoneticPr fontId="29"/>
  </si>
  <si>
    <t>品質管理</t>
    <rPh sb="0" eb="2">
      <t>ヒンシツ</t>
    </rPh>
    <rPh sb="2" eb="4">
      <t>カンリ</t>
    </rPh>
    <phoneticPr fontId="29"/>
  </si>
  <si>
    <t>業務改善</t>
    <rPh sb="0" eb="4">
      <t>ギョウ</t>
    </rPh>
    <phoneticPr fontId="16"/>
  </si>
  <si>
    <t>メンバー管理・育成</t>
    <rPh sb="7" eb="9">
      <t>イクセイ</t>
    </rPh>
    <phoneticPr fontId="29"/>
  </si>
  <si>
    <t>合計</t>
    <rPh sb="0" eb="2">
      <t>ゴウケイ</t>
    </rPh>
    <phoneticPr fontId="16"/>
  </si>
  <si>
    <t>換算</t>
    <rPh sb="0" eb="2">
      <t>カンサン</t>
    </rPh>
    <phoneticPr fontId="16"/>
  </si>
  <si>
    <t>アグリ</t>
    <phoneticPr fontId="16"/>
  </si>
  <si>
    <t>評価</t>
    <rPh sb="0" eb="2">
      <t>ヒョウカ</t>
    </rPh>
    <phoneticPr fontId="16"/>
  </si>
  <si>
    <t>配点</t>
    <rPh sb="0" eb="2">
      <t>ハイテン</t>
    </rPh>
    <phoneticPr fontId="16"/>
  </si>
  <si>
    <t>部門</t>
    <rPh sb="0" eb="2">
      <t>ブモン</t>
    </rPh>
    <phoneticPr fontId="16"/>
  </si>
  <si>
    <t>TGL</t>
    <phoneticPr fontId="16"/>
  </si>
  <si>
    <t>KJ</t>
    <phoneticPr fontId="16"/>
  </si>
  <si>
    <t>MY</t>
    <phoneticPr fontId="16"/>
  </si>
  <si>
    <t>YGLH</t>
    <phoneticPr fontId="16"/>
  </si>
  <si>
    <t>KN</t>
    <phoneticPr fontId="16"/>
  </si>
  <si>
    <t>N</t>
    <phoneticPr fontId="16"/>
  </si>
  <si>
    <t>CJ</t>
    <phoneticPr fontId="16"/>
  </si>
  <si>
    <t>SN</t>
    <phoneticPr fontId="16"/>
  </si>
  <si>
    <t>K</t>
    <phoneticPr fontId="16"/>
  </si>
  <si>
    <t>KY</t>
    <phoneticPr fontId="16"/>
  </si>
  <si>
    <t>OGLH</t>
    <phoneticPr fontId="16"/>
  </si>
  <si>
    <t>IM</t>
    <phoneticPr fontId="16"/>
  </si>
  <si>
    <t>MS</t>
    <phoneticPr fontId="16"/>
  </si>
  <si>
    <t>SM</t>
    <phoneticPr fontId="16"/>
  </si>
  <si>
    <t>FK</t>
    <phoneticPr fontId="16"/>
  </si>
  <si>
    <t>TA</t>
    <phoneticPr fontId="16"/>
  </si>
  <si>
    <t>FH</t>
    <phoneticPr fontId="16"/>
  </si>
  <si>
    <t>IMGR</t>
    <phoneticPr fontId="20"/>
  </si>
  <si>
    <t>KGLH</t>
    <phoneticPr fontId="16"/>
  </si>
  <si>
    <t>SGLH</t>
    <phoneticPr fontId="16"/>
  </si>
  <si>
    <t>AN</t>
    <phoneticPr fontId="16"/>
  </si>
  <si>
    <t>KGL</t>
    <phoneticPr fontId="16"/>
  </si>
  <si>
    <t>GLH</t>
    <phoneticPr fontId="20"/>
  </si>
  <si>
    <t>I</t>
    <phoneticPr fontId="16"/>
  </si>
  <si>
    <t>T</t>
    <phoneticPr fontId="16"/>
  </si>
  <si>
    <t>O</t>
    <phoneticPr fontId="16"/>
  </si>
  <si>
    <t>Y</t>
    <phoneticPr fontId="16"/>
  </si>
  <si>
    <t>Y</t>
    <phoneticPr fontId="16"/>
  </si>
  <si>
    <t>N</t>
    <phoneticPr fontId="16"/>
  </si>
  <si>
    <t>OH</t>
    <phoneticPr fontId="16"/>
  </si>
  <si>
    <t>AN</t>
    <phoneticPr fontId="16"/>
  </si>
  <si>
    <t>KN</t>
    <phoneticPr fontId="16"/>
  </si>
  <si>
    <t>I
MGR</t>
  </si>
  <si>
    <t>I
MGR</t>
    <phoneticPr fontId="65"/>
  </si>
  <si>
    <t>T
GL</t>
  </si>
  <si>
    <t>T
GL</t>
    <phoneticPr fontId="65"/>
  </si>
  <si>
    <t>Y
GLH</t>
  </si>
  <si>
    <t>Y
GLH</t>
    <phoneticPr fontId="65"/>
  </si>
  <si>
    <t>K
GL</t>
  </si>
  <si>
    <t>K
GL</t>
    <phoneticPr fontId="65"/>
  </si>
  <si>
    <t>O
GLH</t>
    <phoneticPr fontId="65"/>
  </si>
  <si>
    <t>K
GLH</t>
    <phoneticPr fontId="65"/>
  </si>
  <si>
    <t>S
GLH</t>
    <phoneticPr fontId="16"/>
  </si>
  <si>
    <t>IM</t>
    <phoneticPr fontId="16"/>
  </si>
  <si>
    <t>FH</t>
    <phoneticPr fontId="16"/>
  </si>
  <si>
    <t>HS</t>
    <phoneticPr fontId="16"/>
  </si>
  <si>
    <t>I
MGR</t>
    <phoneticPr fontId="16"/>
  </si>
  <si>
    <t>T
GL</t>
    <phoneticPr fontId="16"/>
  </si>
  <si>
    <t>Y
GLH</t>
    <phoneticPr fontId="16"/>
  </si>
  <si>
    <t>K
GL</t>
    <phoneticPr fontId="16"/>
  </si>
  <si>
    <t>O
GLH</t>
    <phoneticPr fontId="16"/>
  </si>
  <si>
    <t>BLH</t>
    <phoneticPr fontId="16"/>
  </si>
</sst>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76" formatCode="0.0"/>
    <numFmt numFmtId="177" formatCode="0_);[Red]\(0\)"/>
    <numFmt numFmtId="178" formatCode="0.0_ "/>
    <numFmt numFmtId="179" formatCode="0.0_);[Red]\(0.0\)"/>
    <numFmt numFmtId="180" formatCode="#,##0.0_ ;[Red]\-#,##0.0\ "/>
    <numFmt numFmtId="181" formatCode="#,##0.0;[Red]\-#,##0.0"/>
    <numFmt numFmtId="182" formatCode="#,##0.0_ "/>
  </numFmts>
  <fonts count="89" x14ac:knownFonts="1">
    <font>
      <sz val="11"/>
      <name val="ＭＳ Ｐゴシック"/>
      <family val="3"/>
      <charset val="128"/>
    </font>
    <font>
      <sz val="11"/>
      <color theme="1"/>
      <name val="ＭＳ Ｐゴシック"/>
      <family val="2"/>
      <charset val="128"/>
      <scheme val="minor"/>
    </font>
    <font>
      <sz val="11"/>
      <color theme="1"/>
      <name val="メイリオ"/>
      <family val="2"/>
      <charset val="128"/>
    </font>
    <font>
      <sz val="11"/>
      <color theme="1"/>
      <name val="メイリオ"/>
      <family val="2"/>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メイリオ"/>
      <family val="2"/>
      <charset val="128"/>
    </font>
    <font>
      <sz val="11"/>
      <color theme="1"/>
      <name val="メイリオ"/>
      <family val="2"/>
      <charset val="128"/>
    </font>
    <font>
      <sz val="11"/>
      <name val="ＭＳ Ｐゴシック"/>
      <family val="3"/>
      <charset val="128"/>
    </font>
    <font>
      <sz val="6"/>
      <name val="ＭＳ Ｐゴシック"/>
      <family val="3"/>
      <charset val="128"/>
    </font>
    <font>
      <sz val="11"/>
      <color theme="1"/>
      <name val="ＭＳ Ｐゴシック"/>
      <family val="2"/>
      <charset val="128"/>
      <scheme val="minor"/>
    </font>
    <font>
      <sz val="9"/>
      <color theme="1"/>
      <name val="メイリオ"/>
      <family val="3"/>
      <charset val="128"/>
    </font>
    <font>
      <sz val="11"/>
      <color theme="1"/>
      <name val="ＭＳ Ｐゴシック"/>
      <family val="2"/>
      <scheme val="minor"/>
    </font>
    <font>
      <sz val="6"/>
      <name val="ＭＳ Ｐゴシック"/>
      <family val="2"/>
      <charset val="128"/>
      <scheme val="minor"/>
    </font>
    <font>
      <u/>
      <sz val="11"/>
      <color theme="10"/>
      <name val="ＭＳ Ｐゴシック"/>
      <family val="3"/>
      <charset val="128"/>
    </font>
    <font>
      <u/>
      <sz val="11"/>
      <color theme="11"/>
      <name val="ＭＳ Ｐゴシック"/>
      <family val="3"/>
      <charset val="128"/>
    </font>
    <font>
      <sz val="11"/>
      <color theme="1"/>
      <name val="メイリオ"/>
      <family val="3"/>
      <charset val="128"/>
    </font>
    <font>
      <b/>
      <sz val="11"/>
      <name val="Meiryo UI"/>
      <family val="3"/>
      <charset val="128"/>
    </font>
    <font>
      <b/>
      <sz val="11"/>
      <color theme="1"/>
      <name val="メイリオ"/>
      <family val="3"/>
      <charset val="128"/>
    </font>
    <font>
      <b/>
      <sz val="12"/>
      <color theme="1"/>
      <name val="メイリオ"/>
      <family val="3"/>
      <charset val="128"/>
    </font>
    <font>
      <b/>
      <sz val="12"/>
      <name val="メイリオ"/>
      <family val="3"/>
      <charset val="128"/>
    </font>
    <font>
      <sz val="18"/>
      <color theme="1"/>
      <name val="メイリオ"/>
      <family val="2"/>
      <charset val="128"/>
    </font>
    <font>
      <sz val="6"/>
      <name val="メイリオ"/>
      <family val="2"/>
      <charset val="128"/>
    </font>
    <font>
      <b/>
      <sz val="14"/>
      <color theme="1"/>
      <name val="メイリオ"/>
      <family val="3"/>
      <charset val="128"/>
    </font>
    <font>
      <b/>
      <sz val="11"/>
      <color rgb="FFFF0000"/>
      <name val="メイリオ"/>
      <family val="3"/>
      <charset val="128"/>
    </font>
    <font>
      <sz val="12"/>
      <color theme="1"/>
      <name val="メイリオ"/>
      <family val="2"/>
      <charset val="128"/>
    </font>
    <font>
      <sz val="14"/>
      <color theme="1"/>
      <name val="メイリオ"/>
      <family val="2"/>
      <charset val="128"/>
    </font>
    <font>
      <b/>
      <sz val="14"/>
      <color rgb="FFFF0000"/>
      <name val="メイリオ"/>
      <family val="3"/>
      <charset val="128"/>
    </font>
    <font>
      <sz val="18"/>
      <color theme="3"/>
      <name val="ＭＳ Ｐゴシック"/>
      <family val="2"/>
      <charset val="128"/>
      <scheme val="major"/>
    </font>
    <font>
      <b/>
      <sz val="11"/>
      <name val="メイリオ"/>
      <family val="3"/>
      <charset val="128"/>
    </font>
    <font>
      <b/>
      <sz val="18"/>
      <color theme="1"/>
      <name val="メイリオ"/>
      <family val="3"/>
      <charset val="128"/>
    </font>
    <font>
      <sz val="12"/>
      <color theme="1"/>
      <name val="ＭＳ Ｐゴシック"/>
      <family val="2"/>
      <charset val="128"/>
      <scheme val="minor"/>
    </font>
    <font>
      <sz val="11"/>
      <name val="ＭＳ Ｐゴシック"/>
      <family val="3"/>
      <charset val="128"/>
      <scheme val="minor"/>
    </font>
    <font>
      <b/>
      <sz val="12"/>
      <name val="ＭＳ Ｐゴシック"/>
      <family val="3"/>
      <charset val="128"/>
      <scheme val="minor"/>
    </font>
    <font>
      <b/>
      <sz val="16"/>
      <color theme="1"/>
      <name val="メイリオ"/>
      <family val="3"/>
      <charset val="128"/>
    </font>
    <font>
      <b/>
      <sz val="10"/>
      <name val="メイリオ"/>
      <family val="3"/>
      <charset val="128"/>
    </font>
    <font>
      <b/>
      <sz val="11"/>
      <color rgb="FFC00000"/>
      <name val="メイリオ"/>
      <family val="3"/>
      <charset val="128"/>
    </font>
    <font>
      <b/>
      <sz val="14"/>
      <name val="メイリオ"/>
      <family val="3"/>
      <charset val="128"/>
    </font>
    <font>
      <sz val="11"/>
      <name val="メイリオ"/>
      <family val="3"/>
      <charset val="128"/>
    </font>
    <font>
      <sz val="11"/>
      <name val="Meiryo UI"/>
      <family val="3"/>
      <charset val="128"/>
    </font>
    <font>
      <b/>
      <sz val="11"/>
      <name val="ＭＳ Ｐゴシック"/>
      <family val="3"/>
      <charset val="128"/>
    </font>
    <font>
      <b/>
      <sz val="14"/>
      <color rgb="FFC00000"/>
      <name val="メイリオ"/>
      <family val="3"/>
      <charset val="128"/>
    </font>
    <font>
      <b/>
      <sz val="11"/>
      <name val="ＭＳ Ｐゴシック"/>
      <family val="3"/>
      <charset val="128"/>
      <scheme val="minor"/>
    </font>
    <font>
      <sz val="12"/>
      <color theme="1"/>
      <name val="メイリオ"/>
      <family val="3"/>
      <charset val="128"/>
    </font>
    <font>
      <sz val="12"/>
      <name val="メイリオ"/>
      <family val="3"/>
      <charset val="128"/>
    </font>
    <font>
      <b/>
      <sz val="16"/>
      <name val="メイリオ"/>
      <family val="3"/>
      <charset val="128"/>
    </font>
    <font>
      <sz val="12"/>
      <name val="ＭＳ Ｐゴシック"/>
      <family val="3"/>
      <charset val="128"/>
      <scheme val="minor"/>
    </font>
    <font>
      <b/>
      <sz val="11"/>
      <name val="MS UI Gothic"/>
      <family val="3"/>
      <charset val="128"/>
    </font>
    <font>
      <b/>
      <sz val="13"/>
      <color rgb="FFC00000"/>
      <name val="メイリオ"/>
      <family val="3"/>
      <charset val="128"/>
    </font>
    <font>
      <b/>
      <sz val="13"/>
      <name val="メイリオ"/>
      <family val="3"/>
      <charset val="128"/>
    </font>
    <font>
      <sz val="11"/>
      <color theme="1"/>
      <name val="ＭＳ Ｐゴシック"/>
      <family val="3"/>
      <charset val="128"/>
    </font>
    <font>
      <b/>
      <sz val="11"/>
      <color rgb="FFFF0000"/>
      <name val="ＭＳ Ｐゴシック"/>
      <family val="3"/>
      <charset val="128"/>
    </font>
    <font>
      <b/>
      <sz val="8"/>
      <color theme="0"/>
      <name val="メイリオ"/>
      <family val="3"/>
      <charset val="128"/>
    </font>
    <font>
      <sz val="8"/>
      <name val="メイリオ"/>
      <family val="3"/>
      <charset val="128"/>
    </font>
    <font>
      <sz val="8"/>
      <color theme="1"/>
      <name val="メイリオ"/>
      <family val="3"/>
      <charset val="128"/>
    </font>
    <font>
      <sz val="9"/>
      <color rgb="FF1F497D"/>
      <name val="メイリオ"/>
      <family val="3"/>
      <charset val="128"/>
    </font>
    <font>
      <sz val="12"/>
      <color rgb="FFC00000"/>
      <name val="Meiryo UI"/>
      <family val="3"/>
      <charset val="128"/>
    </font>
    <font>
      <sz val="12"/>
      <color rgb="FFC00000"/>
      <name val="メイリオ"/>
      <family val="3"/>
      <charset val="128"/>
    </font>
    <font>
      <sz val="11"/>
      <color theme="1"/>
      <name val="Tahoma"/>
      <family val="2"/>
    </font>
    <font>
      <sz val="9"/>
      <name val="ＭＳ Ｐゴシック"/>
      <family val="3"/>
      <charset val="128"/>
      <scheme val="minor"/>
    </font>
    <font>
      <sz val="10"/>
      <color theme="1"/>
      <name val="Meiryo UI"/>
      <family val="3"/>
      <charset val="128"/>
    </font>
    <font>
      <sz val="11"/>
      <name val="ＭＳ Ｐゴシック"/>
      <family val="3"/>
      <charset val="128"/>
      <scheme val="major"/>
    </font>
    <font>
      <b/>
      <sz val="10"/>
      <name val="ＭＳ Ｐゴシック"/>
      <family val="3"/>
      <charset val="128"/>
    </font>
    <font>
      <b/>
      <sz val="10"/>
      <color theme="1"/>
      <name val="ＭＳ Ｐゴシック"/>
      <family val="3"/>
      <charset val="128"/>
      <scheme val="minor"/>
    </font>
    <font>
      <sz val="9"/>
      <color theme="1"/>
      <name val="ＭＳ Ｐゴシック"/>
      <family val="3"/>
      <charset val="128"/>
      <scheme val="minor"/>
    </font>
    <font>
      <sz val="9"/>
      <color rgb="FF1F497D"/>
      <name val="ＭＳ Ｐゴシック"/>
      <family val="3"/>
      <charset val="128"/>
      <scheme val="minor"/>
    </font>
    <font>
      <sz val="9"/>
      <color theme="1"/>
      <name val="ＭＳ Ｐゴシック"/>
      <family val="2"/>
      <charset val="128"/>
      <scheme val="minor"/>
    </font>
    <font>
      <sz val="9"/>
      <color rgb="FFFFC000"/>
      <name val="ＭＳ Ｐゴシック"/>
      <family val="3"/>
      <charset val="128"/>
      <scheme val="minor"/>
    </font>
    <font>
      <sz val="9"/>
      <name val="ＭＳ Ｐゴシック"/>
      <family val="2"/>
      <charset val="128"/>
      <scheme val="minor"/>
    </font>
    <font>
      <sz val="9"/>
      <color rgb="FF1F497D"/>
      <name val="ＭＳ ゴシック"/>
      <family val="3"/>
      <charset val="128"/>
    </font>
    <font>
      <sz val="9"/>
      <color theme="1"/>
      <name val="ＭＳ Ｐゴシック"/>
      <family val="2"/>
      <scheme val="minor"/>
    </font>
    <font>
      <sz val="12"/>
      <name val="メイリオ"/>
      <family val="2"/>
      <charset val="128"/>
    </font>
    <font>
      <b/>
      <sz val="12"/>
      <color theme="1"/>
      <name val="メイリオ"/>
      <family val="2"/>
      <charset val="128"/>
    </font>
    <font>
      <b/>
      <sz val="12"/>
      <name val="メイリオ"/>
      <family val="2"/>
      <charset val="128"/>
    </font>
    <font>
      <b/>
      <sz val="11"/>
      <name val="メイリオ"/>
      <family val="2"/>
      <charset val="128"/>
    </font>
    <font>
      <sz val="11"/>
      <name val="メイリオ"/>
      <family val="2"/>
      <charset val="128"/>
    </font>
    <font>
      <b/>
      <sz val="11"/>
      <color theme="1"/>
      <name val="メイリオ"/>
      <family val="2"/>
      <charset val="128"/>
    </font>
    <font>
      <b/>
      <sz val="11"/>
      <color theme="1"/>
      <name val="ＭＳ Ｐゴシック"/>
      <family val="2"/>
      <charset val="128"/>
      <scheme val="minor"/>
    </font>
    <font>
      <b/>
      <sz val="12"/>
      <color rgb="FFFF0000"/>
      <name val="メイリオ"/>
      <family val="2"/>
      <charset val="128"/>
    </font>
    <font>
      <b/>
      <sz val="11"/>
      <color rgb="FFFF0000"/>
      <name val="メイリオ"/>
      <family val="2"/>
      <charset val="128"/>
    </font>
    <font>
      <sz val="10"/>
      <name val="ＭＳ Ｐゴシック"/>
      <family val="3"/>
      <charset val="128"/>
    </font>
    <font>
      <b/>
      <sz val="11"/>
      <color theme="1"/>
      <name val="ＭＳ Ｐゴシック"/>
      <family val="3"/>
      <charset val="128"/>
      <scheme val="minor"/>
    </font>
  </fonts>
  <fills count="17">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0.14999847407452621"/>
        <bgColor rgb="FF000000"/>
      </patternFill>
    </fill>
    <fill>
      <patternFill patternType="solid">
        <fgColor theme="6"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DCE6F2"/>
        <bgColor rgb="FFEBF1DE"/>
      </patternFill>
    </fill>
    <fill>
      <patternFill patternType="solid">
        <fgColor theme="0"/>
        <bgColor indexed="64"/>
      </patternFill>
    </fill>
    <fill>
      <patternFill patternType="lightUp">
        <bgColor theme="3"/>
      </patternFill>
    </fill>
    <fill>
      <patternFill patternType="solid">
        <fgColor theme="6" tint="0.59999389629810485"/>
        <bgColor indexed="64"/>
      </patternFill>
    </fill>
    <fill>
      <patternFill patternType="solid">
        <fgColor theme="6" tint="0.59999389629810485"/>
        <bgColor rgb="FFEBF1DE"/>
      </patternFill>
    </fill>
    <fill>
      <patternFill patternType="solid">
        <fgColor rgb="FF92D050"/>
        <bgColor indexed="64"/>
      </patternFill>
    </fill>
  </fills>
  <borders count="118">
    <border>
      <left/>
      <right/>
      <top/>
      <bottom/>
      <diagonal/>
    </border>
    <border>
      <left style="hair">
        <color auto="1"/>
      </left>
      <right/>
      <top/>
      <bottom/>
      <diagonal/>
    </border>
    <border>
      <left/>
      <right/>
      <top/>
      <bottom style="hair">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right/>
      <top style="hair">
        <color auto="1"/>
      </top>
      <bottom style="thin">
        <color auto="1"/>
      </bottom>
      <diagonal/>
    </border>
    <border>
      <left/>
      <right/>
      <top style="thin">
        <color auto="1"/>
      </top>
      <bottom style="hair">
        <color auto="1"/>
      </bottom>
      <diagonal/>
    </border>
    <border>
      <left/>
      <right/>
      <top style="thin">
        <color auto="1"/>
      </top>
      <bottom style="thin">
        <color auto="1"/>
      </bottom>
      <diagonal/>
    </border>
    <border>
      <left/>
      <right style="thin">
        <color auto="1"/>
      </right>
      <top style="hair">
        <color auto="1"/>
      </top>
      <bottom/>
      <diagonal/>
    </border>
    <border>
      <left/>
      <right style="thin">
        <color auto="1"/>
      </right>
      <top style="hair">
        <color auto="1"/>
      </top>
      <bottom style="hair">
        <color auto="1"/>
      </bottom>
      <diagonal/>
    </border>
    <border>
      <left/>
      <right style="thin">
        <color auto="1"/>
      </right>
      <top style="thin">
        <color auto="1"/>
      </top>
      <bottom style="hair">
        <color auto="1"/>
      </bottom>
      <diagonal/>
    </border>
    <border>
      <left/>
      <right style="thin">
        <color auto="1"/>
      </right>
      <top style="hair">
        <color auto="1"/>
      </top>
      <bottom style="thin">
        <color auto="1"/>
      </bottom>
      <diagonal/>
    </border>
    <border>
      <left/>
      <right style="thin">
        <color auto="1"/>
      </right>
      <top style="thin">
        <color auto="1"/>
      </top>
      <bottom style="thin">
        <color auto="1"/>
      </bottom>
      <diagonal/>
    </border>
    <border>
      <left style="hair">
        <color auto="1"/>
      </left>
      <right/>
      <top style="thin">
        <color auto="1"/>
      </top>
      <bottom style="hair">
        <color auto="1"/>
      </bottom>
      <diagonal/>
    </border>
    <border>
      <left/>
      <right style="hair">
        <color auto="1"/>
      </right>
      <top style="thin">
        <color auto="1"/>
      </top>
      <bottom style="hair">
        <color auto="1"/>
      </bottom>
      <diagonal/>
    </border>
    <border>
      <left/>
      <right/>
      <top style="thin">
        <color auto="1"/>
      </top>
      <bottom/>
      <diagonal/>
    </border>
    <border>
      <left style="thin">
        <color auto="1"/>
      </left>
      <right/>
      <top style="thin">
        <color auto="1"/>
      </top>
      <bottom style="double">
        <color auto="1"/>
      </bottom>
      <diagonal/>
    </border>
    <border>
      <left/>
      <right/>
      <top style="thin">
        <color auto="1"/>
      </top>
      <bottom style="double">
        <color auto="1"/>
      </bottom>
      <diagonal/>
    </border>
    <border>
      <left/>
      <right style="thin">
        <color auto="1"/>
      </right>
      <top style="thin">
        <color auto="1"/>
      </top>
      <bottom style="double">
        <color auto="1"/>
      </bottom>
      <diagonal/>
    </border>
    <border>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hair">
        <color auto="1"/>
      </left>
      <right style="thin">
        <color auto="1"/>
      </right>
      <top style="hair">
        <color auto="1"/>
      </top>
      <bottom style="thin">
        <color auto="1"/>
      </bottom>
      <diagonal/>
    </border>
    <border>
      <left/>
      <right style="hair">
        <color auto="1"/>
      </right>
      <top style="hair">
        <color auto="1"/>
      </top>
      <bottom style="thin">
        <color auto="1"/>
      </bottom>
      <diagonal/>
    </border>
    <border>
      <left/>
      <right/>
      <top/>
      <bottom style="medium">
        <color auto="1"/>
      </bottom>
      <diagonal/>
    </border>
    <border>
      <left style="medium">
        <color auto="1"/>
      </left>
      <right style="double">
        <color auto="1"/>
      </right>
      <top style="medium">
        <color auto="1"/>
      </top>
      <bottom style="double">
        <color auto="1"/>
      </bottom>
      <diagonal/>
    </border>
    <border>
      <left style="double">
        <color auto="1"/>
      </left>
      <right style="thin">
        <color auto="1"/>
      </right>
      <top style="medium">
        <color auto="1"/>
      </top>
      <bottom style="double">
        <color auto="1"/>
      </bottom>
      <diagonal/>
    </border>
    <border>
      <left/>
      <right style="medium">
        <color auto="1"/>
      </right>
      <top style="medium">
        <color auto="1"/>
      </top>
      <bottom style="double">
        <color auto="1"/>
      </bottom>
      <diagonal/>
    </border>
    <border>
      <left style="medium">
        <color auto="1"/>
      </left>
      <right/>
      <top style="medium">
        <color auto="1"/>
      </top>
      <bottom style="double">
        <color auto="1"/>
      </bottom>
      <diagonal/>
    </border>
    <border>
      <left/>
      <right/>
      <top style="medium">
        <color auto="1"/>
      </top>
      <bottom style="double">
        <color auto="1"/>
      </bottom>
      <diagonal/>
    </border>
    <border>
      <left style="medium">
        <color auto="1"/>
      </left>
      <right style="double">
        <color auto="1"/>
      </right>
      <top style="double">
        <color auto="1"/>
      </top>
      <bottom style="thin">
        <color auto="1"/>
      </bottom>
      <diagonal/>
    </border>
    <border>
      <left style="double">
        <color auto="1"/>
      </left>
      <right style="thin">
        <color auto="1"/>
      </right>
      <top/>
      <bottom style="thin">
        <color auto="1"/>
      </bottom>
      <diagonal/>
    </border>
    <border>
      <left/>
      <right style="medium">
        <color auto="1"/>
      </right>
      <top/>
      <bottom style="thin">
        <color auto="1"/>
      </bottom>
      <diagonal/>
    </border>
    <border>
      <left/>
      <right/>
      <top/>
      <bottom style="thin">
        <color auto="1"/>
      </bottom>
      <diagonal/>
    </border>
    <border>
      <left style="medium">
        <color auto="1"/>
      </left>
      <right/>
      <top/>
      <bottom style="thin">
        <color auto="1"/>
      </bottom>
      <diagonal/>
    </border>
    <border>
      <left style="thin">
        <color auto="1"/>
      </left>
      <right style="thin">
        <color auto="1"/>
      </right>
      <top style="double">
        <color auto="1"/>
      </top>
      <bottom style="thin">
        <color auto="1"/>
      </bottom>
      <diagonal/>
    </border>
    <border>
      <left style="thin">
        <color auto="1"/>
      </left>
      <right/>
      <top style="double">
        <color auto="1"/>
      </top>
      <bottom style="thin">
        <color auto="1"/>
      </bottom>
      <diagonal/>
    </border>
    <border>
      <left style="medium">
        <color auto="1"/>
      </left>
      <right style="thin">
        <color auto="1"/>
      </right>
      <top style="double">
        <color auto="1"/>
      </top>
      <bottom style="thin">
        <color auto="1"/>
      </bottom>
      <diagonal/>
    </border>
    <border>
      <left/>
      <right style="thin">
        <color auto="1"/>
      </right>
      <top style="double">
        <color auto="1"/>
      </top>
      <bottom style="thin">
        <color auto="1"/>
      </bottom>
      <diagonal/>
    </border>
    <border>
      <left style="thin">
        <color auto="1"/>
      </left>
      <right style="medium">
        <color auto="1"/>
      </right>
      <top style="double">
        <color auto="1"/>
      </top>
      <bottom style="thin">
        <color auto="1"/>
      </bottom>
      <diagonal/>
    </border>
    <border>
      <left style="medium">
        <color auto="1"/>
      </left>
      <right style="double">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double">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double">
        <color auto="1"/>
      </right>
      <top style="thin">
        <color auto="1"/>
      </top>
      <bottom style="double">
        <color auto="1"/>
      </bottom>
      <diagonal/>
    </border>
    <border>
      <left style="double">
        <color auto="1"/>
      </left>
      <right style="thin">
        <color auto="1"/>
      </right>
      <top style="thin">
        <color auto="1"/>
      </top>
      <bottom style="double">
        <color auto="1"/>
      </bottom>
      <diagonal/>
    </border>
    <border>
      <left style="medium">
        <color auto="1"/>
      </left>
      <right/>
      <top style="thin">
        <color auto="1"/>
      </top>
      <bottom style="double">
        <color auto="1"/>
      </bottom>
      <diagonal/>
    </border>
    <border>
      <left style="medium">
        <color auto="1"/>
      </left>
      <right style="thin">
        <color auto="1"/>
      </right>
      <top style="thin">
        <color auto="1"/>
      </top>
      <bottom style="double">
        <color auto="1"/>
      </bottom>
      <diagonal/>
    </border>
    <border>
      <left style="thin">
        <color auto="1"/>
      </left>
      <right style="medium">
        <color auto="1"/>
      </right>
      <top style="thin">
        <color auto="1"/>
      </top>
      <bottom style="double">
        <color auto="1"/>
      </bottom>
      <diagonal/>
    </border>
    <border>
      <left style="medium">
        <color auto="1"/>
      </left>
      <right style="double">
        <color auto="1"/>
      </right>
      <top style="double">
        <color auto="1"/>
      </top>
      <bottom style="double">
        <color auto="1"/>
      </bottom>
      <diagonal/>
    </border>
    <border>
      <left style="double">
        <color auto="1"/>
      </left>
      <right style="thin">
        <color auto="1"/>
      </right>
      <top style="double">
        <color auto="1"/>
      </top>
      <bottom style="double">
        <color auto="1"/>
      </bottom>
      <diagonal/>
    </border>
    <border>
      <left/>
      <right style="medium">
        <color auto="1"/>
      </right>
      <top style="double">
        <color auto="1"/>
      </top>
      <bottom style="double">
        <color auto="1"/>
      </bottom>
      <diagonal/>
    </border>
    <border>
      <left/>
      <right/>
      <top style="double">
        <color auto="1"/>
      </top>
      <bottom style="double">
        <color auto="1"/>
      </bottom>
      <diagonal/>
    </border>
    <border>
      <left style="medium">
        <color auto="1"/>
      </left>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medium">
        <color auto="1"/>
      </right>
      <top style="double">
        <color auto="1"/>
      </top>
      <bottom style="double">
        <color auto="1"/>
      </bottom>
      <diagonal/>
    </border>
    <border>
      <left style="thin">
        <color auto="1"/>
      </left>
      <right style="medium">
        <color auto="1"/>
      </right>
      <top/>
      <bottom style="thin">
        <color auto="1"/>
      </bottom>
      <diagonal/>
    </border>
    <border>
      <left style="medium">
        <color auto="1"/>
      </left>
      <right style="double">
        <color auto="1"/>
      </right>
      <top style="thin">
        <color auto="1"/>
      </top>
      <bottom style="medium">
        <color auto="1"/>
      </bottom>
      <diagonal/>
    </border>
    <border>
      <left style="double">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right/>
      <top style="thin">
        <color auto="1"/>
      </top>
      <bottom style="medium">
        <color auto="1"/>
      </bottom>
      <diagonal/>
    </border>
    <border>
      <left style="medium">
        <color auto="1"/>
      </left>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top style="medium">
        <color indexed="64"/>
      </top>
      <bottom style="double">
        <color indexed="64"/>
      </bottom>
      <diagonal/>
    </border>
    <border>
      <left style="thin">
        <color auto="1"/>
      </left>
      <right style="medium">
        <color auto="1"/>
      </right>
      <top style="medium">
        <color auto="1"/>
      </top>
      <bottom style="double">
        <color auto="1"/>
      </bottom>
      <diagonal/>
    </border>
    <border>
      <left style="thin">
        <color auto="1"/>
      </left>
      <right style="double">
        <color auto="1"/>
      </right>
      <top style="thin">
        <color auto="1"/>
      </top>
      <bottom style="thin">
        <color auto="1"/>
      </bottom>
      <diagonal/>
    </border>
    <border>
      <left style="medium">
        <color indexed="64"/>
      </left>
      <right style="thin">
        <color auto="1"/>
      </right>
      <top style="double">
        <color auto="1"/>
      </top>
      <bottom style="medium">
        <color indexed="64"/>
      </bottom>
      <diagonal/>
    </border>
    <border>
      <left style="thin">
        <color auto="1"/>
      </left>
      <right style="thin">
        <color auto="1"/>
      </right>
      <top style="double">
        <color auto="1"/>
      </top>
      <bottom style="medium">
        <color auto="1"/>
      </bottom>
      <diagonal/>
    </border>
    <border>
      <left style="thin">
        <color auto="1"/>
      </left>
      <right style="medium">
        <color indexed="64"/>
      </right>
      <top style="double">
        <color auto="1"/>
      </top>
      <bottom style="medium">
        <color indexed="64"/>
      </bottom>
      <diagonal/>
    </border>
    <border>
      <left/>
      <right style="thin">
        <color auto="1"/>
      </right>
      <top style="medium">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right style="thin">
        <color auto="1"/>
      </right>
      <top style="double">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thin">
        <color auto="1"/>
      </left>
      <right/>
      <top style="double">
        <color auto="1"/>
      </top>
      <bottom style="double">
        <color auto="1"/>
      </bottom>
      <diagonal/>
    </border>
    <border>
      <left style="thin">
        <color auto="1"/>
      </left>
      <right/>
      <top/>
      <bottom/>
      <diagonal/>
    </border>
    <border>
      <left style="thin">
        <color auto="1"/>
      </left>
      <right style="hair">
        <color auto="1"/>
      </right>
      <top/>
      <bottom/>
      <diagonal/>
    </border>
    <border>
      <left style="hair">
        <color auto="1"/>
      </left>
      <right style="hair">
        <color auto="1"/>
      </right>
      <top/>
      <bottom/>
      <diagonal/>
    </border>
    <border>
      <left style="thin">
        <color auto="1"/>
      </left>
      <right style="hair">
        <color auto="1"/>
      </right>
      <top style="double">
        <color auto="1"/>
      </top>
      <bottom/>
      <diagonal/>
    </border>
    <border>
      <left style="hair">
        <color auto="1"/>
      </left>
      <right style="hair">
        <color auto="1"/>
      </right>
      <top style="double">
        <color auto="1"/>
      </top>
      <bottom/>
      <diagonal/>
    </border>
    <border>
      <left style="hair">
        <color auto="1"/>
      </left>
      <right style="thin">
        <color auto="1"/>
      </right>
      <top style="double">
        <color auto="1"/>
      </top>
      <bottom/>
      <diagonal/>
    </border>
    <border>
      <left/>
      <right style="hair">
        <color auto="1"/>
      </right>
      <top style="double">
        <color auto="1"/>
      </top>
      <bottom/>
      <diagonal/>
    </border>
    <border>
      <left style="hair">
        <color auto="1"/>
      </left>
      <right/>
      <top style="double">
        <color auto="1"/>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right style="thin">
        <color auto="1"/>
      </right>
      <top style="thin">
        <color auto="1"/>
      </top>
      <bottom/>
      <diagonal/>
    </border>
    <border>
      <left/>
      <right/>
      <top style="hair">
        <color auto="1"/>
      </top>
      <bottom/>
      <diagonal/>
    </border>
  </borders>
  <cellStyleXfs count="233">
    <xf numFmtId="0" fontId="0" fillId="0" borderId="0"/>
    <xf numFmtId="0" fontId="15" fillId="0" borderId="0"/>
    <xf numFmtId="0" fontId="17" fillId="0" borderId="0">
      <alignment vertical="center"/>
    </xf>
    <xf numFmtId="0" fontId="14" fillId="0" borderId="0">
      <alignment vertical="center"/>
    </xf>
    <xf numFmtId="0" fontId="13" fillId="0" borderId="0">
      <alignment vertical="center"/>
    </xf>
    <xf numFmtId="9" fontId="13" fillId="0" borderId="0" applyFont="0" applyFill="0" applyBorder="0" applyAlignment="0" applyProtection="0">
      <alignment vertical="center"/>
    </xf>
    <xf numFmtId="38" fontId="15" fillId="0" borderId="0" applyFont="0" applyFill="0" applyBorder="0" applyAlignment="0" applyProtection="0">
      <alignment vertical="center"/>
    </xf>
    <xf numFmtId="0" fontId="12" fillId="0" borderId="0">
      <alignment vertical="center"/>
    </xf>
    <xf numFmtId="0" fontId="12" fillId="0" borderId="0">
      <alignment vertical="center"/>
    </xf>
    <xf numFmtId="0" fontId="19" fillId="0" borderId="0"/>
    <xf numFmtId="9" fontId="15" fillId="0" borderId="0" applyFont="0" applyFill="0" applyBorder="0" applyAlignment="0" applyProtection="0">
      <alignment vertical="center"/>
    </xf>
    <xf numFmtId="9" fontId="13" fillId="0" borderId="0" applyFont="0" applyFill="0" applyBorder="0" applyAlignment="0" applyProtection="0">
      <alignment vertical="center"/>
    </xf>
    <xf numFmtId="38" fontId="13" fillId="0" borderId="0" applyFont="0" applyFill="0" applyBorder="0" applyAlignment="0" applyProtection="0">
      <alignment vertical="center"/>
    </xf>
    <xf numFmtId="0" fontId="11" fillId="0" borderId="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2" fillId="0" borderId="0">
      <alignment vertical="center"/>
    </xf>
    <xf numFmtId="9" fontId="2" fillId="0" borderId="0" applyFont="0" applyFill="0" applyBorder="0" applyAlignment="0" applyProtection="0">
      <alignment vertical="center"/>
    </xf>
    <xf numFmtId="0" fontId="1" fillId="0" borderId="0">
      <alignment vertical="center"/>
    </xf>
    <xf numFmtId="9" fontId="2" fillId="0" borderId="0" applyFont="0" applyFill="0" applyBorder="0" applyAlignment="0" applyProtection="0">
      <alignment vertical="center"/>
    </xf>
    <xf numFmtId="0" fontId="1" fillId="0" borderId="0">
      <alignment vertical="center"/>
    </xf>
    <xf numFmtId="0" fontId="1" fillId="0" borderId="0">
      <alignment vertical="center"/>
    </xf>
    <xf numFmtId="9" fontId="2" fillId="0" borderId="0" applyFont="0" applyFill="0" applyBorder="0" applyAlignment="0" applyProtection="0">
      <alignment vertical="center"/>
    </xf>
    <xf numFmtId="38" fontId="2"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5" fillId="0" borderId="0" applyFont="0" applyFill="0" applyBorder="0" applyAlignment="0" applyProtection="0">
      <alignment vertical="center"/>
    </xf>
    <xf numFmtId="9" fontId="15" fillId="0" borderId="0" applyFont="0" applyFill="0" applyBorder="0" applyAlignment="0" applyProtection="0">
      <alignment vertical="center"/>
    </xf>
    <xf numFmtId="0" fontId="38" fillId="0" borderId="0">
      <alignment vertical="center"/>
    </xf>
  </cellStyleXfs>
  <cellXfs count="517">
    <xf numFmtId="0" fontId="0" fillId="0" borderId="0" xfId="0"/>
    <xf numFmtId="0" fontId="25" fillId="2" borderId="3" xfId="124" applyFont="1" applyFill="1" applyBorder="1" applyAlignment="1">
      <alignment horizontal="center" vertical="center" wrapText="1"/>
    </xf>
    <xf numFmtId="0" fontId="30" fillId="2" borderId="3" xfId="124" applyFont="1" applyFill="1" applyBorder="1">
      <alignment vertical="center"/>
    </xf>
    <xf numFmtId="0" fontId="28" fillId="0" borderId="0" xfId="125" applyFont="1">
      <alignment vertical="center"/>
    </xf>
    <xf numFmtId="0" fontId="2" fillId="0" borderId="0" xfId="125">
      <alignment vertical="center"/>
    </xf>
    <xf numFmtId="0" fontId="25" fillId="0" borderId="0" xfId="125" applyFont="1">
      <alignment vertical="center"/>
    </xf>
    <xf numFmtId="0" fontId="31" fillId="0" borderId="0" xfId="125" applyFont="1" applyAlignment="1">
      <alignment horizontal="center" vertical="center"/>
    </xf>
    <xf numFmtId="0" fontId="25" fillId="2" borderId="3" xfId="125" applyFont="1" applyFill="1" applyBorder="1" applyAlignment="1">
      <alignment horizontal="center" vertical="center"/>
    </xf>
    <xf numFmtId="0" fontId="25" fillId="2" borderId="3" xfId="125" applyFont="1" applyFill="1" applyBorder="1" applyAlignment="1">
      <alignment horizontal="center" vertical="center" wrapText="1"/>
    </xf>
    <xf numFmtId="0" fontId="25" fillId="0" borderId="4" xfId="125" applyFont="1" applyBorder="1">
      <alignment vertical="center"/>
    </xf>
    <xf numFmtId="0" fontId="25" fillId="0" borderId="5" xfId="125" applyFont="1" applyBorder="1">
      <alignment vertical="center"/>
    </xf>
    <xf numFmtId="0" fontId="2" fillId="0" borderId="3" xfId="125" applyBorder="1">
      <alignment vertical="center"/>
    </xf>
    <xf numFmtId="0" fontId="25" fillId="0" borderId="3" xfId="125" applyFont="1" applyBorder="1">
      <alignment vertical="center"/>
    </xf>
    <xf numFmtId="0" fontId="30" fillId="2" borderId="3" xfId="125" applyFont="1" applyFill="1" applyBorder="1">
      <alignment vertical="center"/>
    </xf>
    <xf numFmtId="0" fontId="25" fillId="0" borderId="6" xfId="125" applyFont="1" applyBorder="1">
      <alignment vertical="center"/>
    </xf>
    <xf numFmtId="0" fontId="25" fillId="0" borderId="7" xfId="125" applyFont="1" applyBorder="1">
      <alignment vertical="center"/>
    </xf>
    <xf numFmtId="0" fontId="25" fillId="0" borderId="8" xfId="125" applyFont="1" applyBorder="1">
      <alignment vertical="center"/>
    </xf>
    <xf numFmtId="0" fontId="33" fillId="0" borderId="0" xfId="125" applyFont="1">
      <alignment vertical="center"/>
    </xf>
    <xf numFmtId="0" fontId="33" fillId="0" borderId="0" xfId="125" applyFont="1" applyAlignment="1">
      <alignment horizontal="left" vertical="center"/>
    </xf>
    <xf numFmtId="0" fontId="32" fillId="0" borderId="0" xfId="125" applyFont="1">
      <alignment vertical="center"/>
    </xf>
    <xf numFmtId="0" fontId="2" fillId="4" borderId="3" xfId="125" applyFill="1" applyBorder="1" applyAlignment="1">
      <alignment horizontal="center" vertical="center"/>
    </xf>
    <xf numFmtId="0" fontId="2" fillId="5" borderId="3" xfId="125" applyFill="1" applyBorder="1" applyAlignment="1">
      <alignment horizontal="center" vertical="center"/>
    </xf>
    <xf numFmtId="0" fontId="2" fillId="2" borderId="9" xfId="125" applyFill="1" applyBorder="1" applyAlignment="1">
      <alignment horizontal="center" vertical="center"/>
    </xf>
    <xf numFmtId="0" fontId="2" fillId="4" borderId="3" xfId="125" applyFill="1" applyBorder="1">
      <alignment vertical="center"/>
    </xf>
    <xf numFmtId="0" fontId="2" fillId="4" borderId="3" xfId="125" quotePrefix="1" applyFill="1" applyBorder="1" applyAlignment="1">
      <alignment horizontal="center" vertical="center"/>
    </xf>
    <xf numFmtId="0" fontId="2" fillId="0" borderId="0" xfId="125" applyAlignment="1">
      <alignment horizontal="right" vertical="center"/>
    </xf>
    <xf numFmtId="0" fontId="2" fillId="0" borderId="3" xfId="125" applyBorder="1" applyAlignment="1">
      <alignment horizontal="right" vertical="center"/>
    </xf>
    <xf numFmtId="0" fontId="0" fillId="0" borderId="3" xfId="126" applyNumberFormat="1" applyFont="1" applyBorder="1">
      <alignment vertical="center"/>
    </xf>
    <xf numFmtId="0" fontId="25" fillId="0" borderId="0" xfId="125" applyFont="1" applyAlignment="1">
      <alignment horizontal="center" vertical="center"/>
    </xf>
    <xf numFmtId="0" fontId="25" fillId="0" borderId="10" xfId="125" applyFont="1" applyBorder="1">
      <alignment vertical="center"/>
    </xf>
    <xf numFmtId="0" fontId="25" fillId="0" borderId="11" xfId="125" applyFont="1" applyBorder="1">
      <alignment vertical="center"/>
    </xf>
    <xf numFmtId="0" fontId="25" fillId="0" borderId="12" xfId="125" applyFont="1" applyBorder="1">
      <alignment vertical="center"/>
    </xf>
    <xf numFmtId="0" fontId="37" fillId="0" borderId="0" xfId="125" applyFont="1">
      <alignment vertical="center"/>
    </xf>
    <xf numFmtId="0" fontId="39" fillId="0" borderId="0" xfId="232" applyFont="1">
      <alignment vertical="center"/>
    </xf>
    <xf numFmtId="0" fontId="40" fillId="0" borderId="0" xfId="232" applyFont="1">
      <alignment vertical="center"/>
    </xf>
    <xf numFmtId="0" fontId="40" fillId="3" borderId="0" xfId="232" applyFont="1" applyFill="1">
      <alignment vertical="center"/>
    </xf>
    <xf numFmtId="0" fontId="26" fillId="2" borderId="3" xfId="125" applyFont="1" applyFill="1" applyBorder="1" applyAlignment="1">
      <alignment horizontal="center" vertical="center"/>
    </xf>
    <xf numFmtId="9" fontId="26" fillId="2" borderId="3" xfId="125" applyNumberFormat="1" applyFont="1" applyFill="1" applyBorder="1">
      <alignment vertical="center"/>
    </xf>
    <xf numFmtId="0" fontId="32" fillId="0" borderId="3" xfId="125" applyFont="1" applyBorder="1">
      <alignment vertical="center"/>
    </xf>
    <xf numFmtId="0" fontId="26" fillId="0" borderId="3" xfId="125" applyFont="1" applyBorder="1">
      <alignment vertical="center"/>
    </xf>
    <xf numFmtId="9" fontId="26" fillId="0" borderId="3" xfId="125" applyNumberFormat="1" applyFont="1" applyBorder="1">
      <alignment vertical="center"/>
    </xf>
    <xf numFmtId="176" fontId="44" fillId="2" borderId="3" xfId="1" applyNumberFormat="1" applyFont="1" applyFill="1" applyBorder="1" applyAlignment="1">
      <alignment horizontal="right" vertical="center"/>
    </xf>
    <xf numFmtId="0" fontId="25" fillId="0" borderId="0" xfId="125" applyFont="1" applyAlignment="1">
      <alignment horizontal="right" vertical="center"/>
    </xf>
    <xf numFmtId="0" fontId="24" fillId="9" borderId="3" xfId="126" applyNumberFormat="1" applyFont="1" applyFill="1" applyBorder="1">
      <alignment vertical="center"/>
    </xf>
    <xf numFmtId="176" fontId="36" fillId="0" borderId="26" xfId="125" applyNumberFormat="1" applyFont="1" applyBorder="1" applyAlignment="1">
      <alignment horizontal="center" vertical="center"/>
    </xf>
    <xf numFmtId="0" fontId="24" fillId="9" borderId="3" xfId="131" applyNumberFormat="1" applyFont="1" applyFill="1" applyBorder="1">
      <alignment vertical="center"/>
    </xf>
    <xf numFmtId="0" fontId="25" fillId="0" borderId="23" xfId="125" applyFont="1" applyBorder="1" applyAlignment="1">
      <alignment horizontal="right" vertical="center"/>
    </xf>
    <xf numFmtId="177" fontId="26" fillId="0" borderId="3" xfId="125" applyNumberFormat="1" applyFont="1" applyBorder="1">
      <alignment vertical="center"/>
    </xf>
    <xf numFmtId="176" fontId="26" fillId="0" borderId="3" xfId="125" applyNumberFormat="1" applyFont="1" applyBorder="1">
      <alignment vertical="center"/>
    </xf>
    <xf numFmtId="178" fontId="25" fillId="0" borderId="3" xfId="125" applyNumberFormat="1" applyFont="1" applyBorder="1">
      <alignment vertical="center"/>
    </xf>
    <xf numFmtId="176" fontId="25" fillId="0" borderId="3" xfId="125" applyNumberFormat="1" applyFont="1" applyBorder="1">
      <alignment vertical="center"/>
    </xf>
    <xf numFmtId="0" fontId="30" fillId="10" borderId="3" xfId="125" applyFont="1" applyFill="1" applyBorder="1">
      <alignment vertical="center"/>
    </xf>
    <xf numFmtId="1" fontId="48" fillId="10" borderId="3" xfId="125" applyNumberFormat="1" applyFont="1" applyFill="1" applyBorder="1">
      <alignment vertical="center"/>
    </xf>
    <xf numFmtId="0" fontId="45" fillId="0" borderId="0" xfId="232" applyFont="1">
      <alignment vertical="center"/>
    </xf>
    <xf numFmtId="0" fontId="45" fillId="0" borderId="3" xfId="232" applyFont="1" applyBorder="1">
      <alignment vertical="center"/>
    </xf>
    <xf numFmtId="0" fontId="36" fillId="6" borderId="3" xfId="232" applyFont="1" applyFill="1" applyBorder="1" applyAlignment="1">
      <alignment horizontal="center" vertical="center"/>
    </xf>
    <xf numFmtId="0" fontId="25" fillId="6" borderId="3" xfId="232" applyFont="1" applyFill="1" applyBorder="1" applyAlignment="1">
      <alignment horizontal="center" vertical="center"/>
    </xf>
    <xf numFmtId="0" fontId="49" fillId="0" borderId="0" xfId="232" applyFont="1" applyAlignment="1">
      <alignment horizontal="center" vertical="center"/>
    </xf>
    <xf numFmtId="0" fontId="49" fillId="0" borderId="0" xfId="232" applyFont="1">
      <alignment vertical="center"/>
    </xf>
    <xf numFmtId="0" fontId="27" fillId="3" borderId="0" xfId="232" applyFont="1" applyFill="1">
      <alignment vertical="center"/>
    </xf>
    <xf numFmtId="0" fontId="27" fillId="0" borderId="0" xfId="232" applyFont="1">
      <alignment vertical="center"/>
    </xf>
    <xf numFmtId="0" fontId="23" fillId="0" borderId="0" xfId="125" applyFont="1">
      <alignment vertical="center"/>
    </xf>
    <xf numFmtId="0" fontId="36" fillId="0" borderId="14" xfId="232" applyFont="1" applyBorder="1">
      <alignment vertical="center"/>
    </xf>
    <xf numFmtId="0" fontId="36" fillId="0" borderId="11" xfId="232" applyFont="1" applyBorder="1">
      <alignment vertical="center"/>
    </xf>
    <xf numFmtId="0" fontId="36" fillId="0" borderId="10" xfId="232" applyFont="1" applyBorder="1">
      <alignment vertical="center"/>
    </xf>
    <xf numFmtId="0" fontId="36" fillId="0" borderId="15" xfId="232" applyFont="1" applyBorder="1">
      <alignment vertical="center"/>
    </xf>
    <xf numFmtId="0" fontId="36" fillId="0" borderId="3" xfId="232" applyFont="1" applyBorder="1">
      <alignment vertical="center"/>
    </xf>
    <xf numFmtId="0" fontId="36" fillId="0" borderId="0" xfId="232" applyFont="1">
      <alignment vertical="center"/>
    </xf>
    <xf numFmtId="0" fontId="36" fillId="7" borderId="3" xfId="232" applyFont="1" applyFill="1" applyBorder="1" applyAlignment="1">
      <alignment horizontal="center" vertical="center"/>
    </xf>
    <xf numFmtId="0" fontId="51" fillId="0" borderId="0" xfId="232" applyFont="1">
      <alignment vertical="center"/>
    </xf>
    <xf numFmtId="0" fontId="36" fillId="2" borderId="3" xfId="232" applyFont="1" applyFill="1" applyBorder="1">
      <alignment vertical="center"/>
    </xf>
    <xf numFmtId="0" fontId="36" fillId="2" borderId="3" xfId="232" applyFont="1" applyFill="1" applyBorder="1" applyAlignment="1">
      <alignment horizontal="center" vertical="center"/>
    </xf>
    <xf numFmtId="0" fontId="25" fillId="2" borderId="18" xfId="232" applyFont="1" applyFill="1" applyBorder="1" applyAlignment="1">
      <alignment horizontal="center" vertical="center"/>
    </xf>
    <xf numFmtId="0" fontId="25" fillId="2" borderId="3" xfId="232" applyFont="1" applyFill="1" applyBorder="1" applyAlignment="1">
      <alignment horizontal="center" vertical="center"/>
    </xf>
    <xf numFmtId="0" fontId="27" fillId="2" borderId="3" xfId="232" applyFont="1" applyFill="1" applyBorder="1" applyAlignment="1">
      <alignment horizontal="center" vertical="center"/>
    </xf>
    <xf numFmtId="0" fontId="27" fillId="0" borderId="14" xfId="232" applyFont="1" applyBorder="1">
      <alignment vertical="center"/>
    </xf>
    <xf numFmtId="0" fontId="27" fillId="0" borderId="11" xfId="232" applyFont="1" applyBorder="1">
      <alignment vertical="center"/>
    </xf>
    <xf numFmtId="0" fontId="51" fillId="0" borderId="11" xfId="232" applyFont="1" applyBorder="1">
      <alignment vertical="center"/>
    </xf>
    <xf numFmtId="0" fontId="27" fillId="0" borderId="10" xfId="232" applyFont="1" applyBorder="1">
      <alignment vertical="center"/>
    </xf>
    <xf numFmtId="0" fontId="51" fillId="0" borderId="14" xfId="232" applyFont="1" applyBorder="1">
      <alignment vertical="center"/>
    </xf>
    <xf numFmtId="0" fontId="27" fillId="0" borderId="15" xfId="232" applyFont="1" applyBorder="1">
      <alignment vertical="center"/>
    </xf>
    <xf numFmtId="0" fontId="51" fillId="0" borderId="15" xfId="232" applyFont="1" applyBorder="1">
      <alignment vertical="center"/>
    </xf>
    <xf numFmtId="0" fontId="26" fillId="0" borderId="0" xfId="125" applyFont="1">
      <alignment vertical="center"/>
    </xf>
    <xf numFmtId="0" fontId="50" fillId="0" borderId="0" xfId="125" applyFont="1">
      <alignment vertical="center"/>
    </xf>
    <xf numFmtId="0" fontId="36" fillId="3" borderId="0" xfId="232" applyFont="1" applyFill="1">
      <alignment vertical="center"/>
    </xf>
    <xf numFmtId="0" fontId="45" fillId="2" borderId="3" xfId="232" applyFont="1" applyFill="1" applyBorder="1">
      <alignment vertical="center"/>
    </xf>
    <xf numFmtId="0" fontId="26" fillId="2" borderId="3" xfId="125" applyFont="1" applyFill="1" applyBorder="1" applyAlignment="1">
      <alignment horizontal="center" vertical="center" wrapText="1"/>
    </xf>
    <xf numFmtId="0" fontId="26" fillId="2" borderId="3" xfId="125" applyFont="1" applyFill="1" applyBorder="1">
      <alignment vertical="center"/>
    </xf>
    <xf numFmtId="0" fontId="26" fillId="2" borderId="5" xfId="125" applyFont="1" applyFill="1" applyBorder="1">
      <alignment vertical="center"/>
    </xf>
    <xf numFmtId="0" fontId="50" fillId="0" borderId="3" xfId="125" applyFont="1" applyBorder="1">
      <alignment vertical="center"/>
    </xf>
    <xf numFmtId="0" fontId="25" fillId="2" borderId="3" xfId="125" applyFont="1" applyFill="1" applyBorder="1">
      <alignment vertical="center"/>
    </xf>
    <xf numFmtId="0" fontId="51" fillId="0" borderId="3" xfId="125" applyFont="1" applyBorder="1">
      <alignment vertical="center"/>
    </xf>
    <xf numFmtId="0" fontId="51" fillId="0" borderId="3" xfId="124" applyFont="1" applyBorder="1">
      <alignment vertical="center"/>
    </xf>
    <xf numFmtId="0" fontId="26" fillId="2" borderId="3" xfId="124" applyFont="1" applyFill="1" applyBorder="1">
      <alignment vertical="center"/>
    </xf>
    <xf numFmtId="0" fontId="26" fillId="0" borderId="0" xfId="124" applyFont="1">
      <alignment vertical="center"/>
    </xf>
    <xf numFmtId="176" fontId="27" fillId="2" borderId="3" xfId="1" applyNumberFormat="1" applyFont="1" applyFill="1" applyBorder="1" applyAlignment="1">
      <alignment horizontal="right" vertical="center"/>
    </xf>
    <xf numFmtId="178" fontId="26" fillId="0" borderId="3" xfId="125" applyNumberFormat="1" applyFont="1" applyBorder="1">
      <alignment vertical="center"/>
    </xf>
    <xf numFmtId="0" fontId="50" fillId="0" borderId="3" xfId="125" applyFont="1" applyBorder="1" applyAlignment="1">
      <alignment horizontal="center" vertical="center"/>
    </xf>
    <xf numFmtId="0" fontId="51" fillId="0" borderId="3" xfId="125" applyFont="1" applyBorder="1" applyAlignment="1">
      <alignment horizontal="center" vertical="center"/>
    </xf>
    <xf numFmtId="177" fontId="50" fillId="0" borderId="3" xfId="125" applyNumberFormat="1" applyFont="1" applyBorder="1">
      <alignment vertical="center"/>
    </xf>
    <xf numFmtId="9" fontId="50" fillId="0" borderId="3" xfId="125" applyNumberFormat="1" applyFont="1" applyBorder="1">
      <alignment vertical="center"/>
    </xf>
    <xf numFmtId="0" fontId="27" fillId="2" borderId="3" xfId="232" applyFont="1" applyFill="1" applyBorder="1">
      <alignment vertical="center"/>
    </xf>
    <xf numFmtId="0" fontId="51" fillId="2" borderId="3" xfId="232" applyFont="1" applyFill="1" applyBorder="1">
      <alignment vertical="center"/>
    </xf>
    <xf numFmtId="0" fontId="26" fillId="10" borderId="3" xfId="125" applyFont="1" applyFill="1" applyBorder="1">
      <alignment vertical="center"/>
    </xf>
    <xf numFmtId="0" fontId="50" fillId="8" borderId="3" xfId="125" applyFont="1" applyFill="1" applyBorder="1">
      <alignment vertical="center"/>
    </xf>
    <xf numFmtId="0" fontId="26" fillId="8" borderId="3" xfId="125" applyFont="1" applyFill="1" applyBorder="1">
      <alignment vertical="center"/>
    </xf>
    <xf numFmtId="176" fontId="26" fillId="8" borderId="3" xfId="125" applyNumberFormat="1" applyFont="1" applyFill="1" applyBorder="1">
      <alignment vertical="center"/>
    </xf>
    <xf numFmtId="0" fontId="2" fillId="8" borderId="3" xfId="125" applyFill="1" applyBorder="1">
      <alignment vertical="center"/>
    </xf>
    <xf numFmtId="0" fontId="51" fillId="0" borderId="21" xfId="232" applyFont="1" applyBorder="1">
      <alignment vertical="center"/>
    </xf>
    <xf numFmtId="0" fontId="51" fillId="0" borderId="20" xfId="232" applyFont="1" applyBorder="1">
      <alignment vertical="center"/>
    </xf>
    <xf numFmtId="0" fontId="51" fillId="0" borderId="10" xfId="232" applyFont="1" applyBorder="1">
      <alignment vertical="center"/>
    </xf>
    <xf numFmtId="0" fontId="51" fillId="0" borderId="19" xfId="232" applyFont="1" applyBorder="1">
      <alignment vertical="center"/>
    </xf>
    <xf numFmtId="0" fontId="27" fillId="2" borderId="23" xfId="232" applyFont="1" applyFill="1" applyBorder="1">
      <alignment vertical="center"/>
    </xf>
    <xf numFmtId="0" fontId="25" fillId="10" borderId="3" xfId="125" applyFont="1" applyFill="1" applyBorder="1">
      <alignment vertical="center"/>
    </xf>
    <xf numFmtId="0" fontId="53" fillId="0" borderId="0" xfId="232" applyFont="1">
      <alignment vertical="center"/>
    </xf>
    <xf numFmtId="0" fontId="27" fillId="6" borderId="3" xfId="232" applyFont="1" applyFill="1" applyBorder="1" applyAlignment="1">
      <alignment horizontal="center" vertical="center"/>
    </xf>
    <xf numFmtId="0" fontId="27" fillId="0" borderId="4" xfId="232" applyFont="1" applyBorder="1">
      <alignment vertical="center"/>
    </xf>
    <xf numFmtId="0" fontId="51" fillId="0" borderId="4" xfId="232" applyFont="1" applyBorder="1">
      <alignment vertical="center"/>
    </xf>
    <xf numFmtId="9" fontId="26" fillId="2" borderId="3" xfId="124" applyNumberFormat="1" applyFont="1" applyFill="1" applyBorder="1">
      <alignment vertical="center"/>
    </xf>
    <xf numFmtId="0" fontId="54" fillId="0" borderId="0" xfId="0" applyFont="1"/>
    <xf numFmtId="0" fontId="54" fillId="0" borderId="6" xfId="0" applyFont="1" applyBorder="1" applyAlignment="1">
      <alignment horizontal="center" vertical="center"/>
    </xf>
    <xf numFmtId="0" fontId="54" fillId="0" borderId="0" xfId="0" applyFont="1" applyAlignment="1">
      <alignment horizontal="center"/>
    </xf>
    <xf numFmtId="0" fontId="36" fillId="0" borderId="0" xfId="0" applyFont="1"/>
    <xf numFmtId="0" fontId="36" fillId="0" borderId="0" xfId="0" applyFont="1" applyAlignment="1">
      <alignment horizontal="center"/>
    </xf>
    <xf numFmtId="177" fontId="36" fillId="0" borderId="0" xfId="0" applyNumberFormat="1" applyFont="1" applyAlignment="1">
      <alignment horizontal="center"/>
    </xf>
    <xf numFmtId="180" fontId="36" fillId="0" borderId="0" xfId="0" applyNumberFormat="1" applyFont="1" applyAlignment="1">
      <alignment horizontal="center"/>
    </xf>
    <xf numFmtId="0" fontId="55" fillId="0" borderId="0" xfId="0" applyFont="1" applyAlignment="1">
      <alignment horizontal="center" vertical="center"/>
    </xf>
    <xf numFmtId="0" fontId="43" fillId="0" borderId="0" xfId="0" applyFont="1"/>
    <xf numFmtId="0" fontId="36" fillId="0" borderId="0" xfId="0" applyFont="1" applyAlignment="1">
      <alignment horizontal="center" vertical="center"/>
    </xf>
    <xf numFmtId="176" fontId="36" fillId="0" borderId="0" xfId="0" applyNumberFormat="1" applyFont="1" applyAlignment="1">
      <alignment horizontal="center" vertical="center"/>
    </xf>
    <xf numFmtId="0" fontId="42" fillId="0" borderId="0" xfId="0" applyFont="1" applyAlignment="1">
      <alignment horizontal="right" vertical="center"/>
    </xf>
    <xf numFmtId="38" fontId="36" fillId="0" borderId="0" xfId="0" applyNumberFormat="1" applyFont="1" applyAlignment="1">
      <alignment horizontal="center" vertical="center"/>
    </xf>
    <xf numFmtId="181" fontId="36" fillId="0" borderId="0" xfId="0" applyNumberFormat="1" applyFont="1" applyAlignment="1">
      <alignment horizontal="center" vertical="center"/>
    </xf>
    <xf numFmtId="0" fontId="43" fillId="0" borderId="0" xfId="0" applyFont="1" applyAlignment="1">
      <alignment horizontal="center"/>
    </xf>
    <xf numFmtId="0" fontId="55" fillId="0" borderId="0" xfId="0" applyFont="1"/>
    <xf numFmtId="0" fontId="56" fillId="0" borderId="0" xfId="0" applyFont="1" applyAlignment="1">
      <alignment horizontal="center" vertical="center"/>
    </xf>
    <xf numFmtId="182" fontId="34" fillId="0" borderId="0" xfId="231" applyNumberFormat="1" applyFont="1" applyFill="1" applyBorder="1" applyAlignment="1">
      <alignment horizontal="center" vertical="center"/>
    </xf>
    <xf numFmtId="0" fontId="27" fillId="0" borderId="0" xfId="0" applyFont="1" applyAlignment="1">
      <alignment horizontal="right" vertical="center"/>
    </xf>
    <xf numFmtId="182" fontId="34" fillId="0" borderId="0" xfId="0" applyNumberFormat="1" applyFont="1" applyAlignment="1">
      <alignment horizontal="center" vertical="center"/>
    </xf>
    <xf numFmtId="38" fontId="55" fillId="0" borderId="0" xfId="0" applyNumberFormat="1" applyFont="1" applyAlignment="1">
      <alignment horizontal="center" vertical="center"/>
    </xf>
    <xf numFmtId="180" fontId="34" fillId="0" borderId="0" xfId="0" applyNumberFormat="1" applyFont="1" applyAlignment="1">
      <alignment horizontal="center" vertical="center"/>
    </xf>
    <xf numFmtId="0" fontId="55" fillId="0" borderId="0" xfId="0" applyFont="1" applyAlignment="1">
      <alignment horizontal="center"/>
    </xf>
    <xf numFmtId="0" fontId="25" fillId="0" borderId="0" xfId="0" applyFont="1" applyAlignment="1">
      <alignment horizontal="center" vertical="center"/>
    </xf>
    <xf numFmtId="0" fontId="57" fillId="0" borderId="0" xfId="0" applyFont="1" applyAlignment="1">
      <alignment horizontal="center" vertical="center"/>
    </xf>
    <xf numFmtId="176" fontId="58" fillId="0" borderId="0" xfId="0" applyNumberFormat="1" applyFont="1" applyAlignment="1">
      <alignment horizontal="center" vertical="center"/>
    </xf>
    <xf numFmtId="181" fontId="57" fillId="0" borderId="0" xfId="0" applyNumberFormat="1" applyFont="1" applyAlignment="1">
      <alignment horizontal="center" vertical="center"/>
    </xf>
    <xf numFmtId="0" fontId="25" fillId="0" borderId="0" xfId="0" applyFont="1"/>
    <xf numFmtId="0" fontId="25" fillId="0" borderId="0" xfId="0" applyFont="1" applyAlignment="1">
      <alignment horizontal="center"/>
    </xf>
    <xf numFmtId="0" fontId="0" fillId="0" borderId="0" xfId="0" applyAlignment="1">
      <alignment vertical="center"/>
    </xf>
    <xf numFmtId="0" fontId="46"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center" vertical="center"/>
    </xf>
    <xf numFmtId="0" fontId="45" fillId="0" borderId="0" xfId="0" applyFont="1" applyAlignment="1">
      <alignment vertical="center"/>
    </xf>
    <xf numFmtId="0" fontId="59" fillId="13" borderId="38" xfId="0" applyFont="1" applyFill="1" applyBorder="1" applyAlignment="1">
      <alignment horizontal="center" vertical="center"/>
    </xf>
    <xf numFmtId="0" fontId="60" fillId="0" borderId="39" xfId="0" applyFont="1" applyBorder="1" applyAlignment="1">
      <alignment horizontal="center" vertical="center"/>
    </xf>
    <xf numFmtId="0" fontId="18" fillId="0" borderId="0" xfId="0" applyFont="1" applyAlignment="1">
      <alignment vertical="center"/>
    </xf>
    <xf numFmtId="0" fontId="61" fillId="0" borderId="43" xfId="0" applyFont="1" applyBorder="1" applyAlignment="1">
      <alignment horizontal="center" vertical="center"/>
    </xf>
    <xf numFmtId="0" fontId="61" fillId="0" borderId="44" xfId="0" applyFont="1" applyBorder="1" applyAlignment="1">
      <alignment horizontal="center" vertical="center" wrapText="1"/>
    </xf>
    <xf numFmtId="0" fontId="61" fillId="0" borderId="45" xfId="0" applyFont="1" applyBorder="1" applyAlignment="1">
      <alignment horizontal="center" vertical="center" wrapText="1"/>
    </xf>
    <xf numFmtId="0" fontId="61" fillId="0" borderId="46" xfId="0" applyFont="1" applyBorder="1" applyAlignment="1">
      <alignment horizontal="center" vertical="center" wrapText="1"/>
    </xf>
    <xf numFmtId="0" fontId="61" fillId="0" borderId="47" xfId="0" applyFont="1" applyBorder="1" applyAlignment="1">
      <alignment horizontal="center" vertical="center"/>
    </xf>
    <xf numFmtId="0" fontId="61" fillId="0" borderId="48" xfId="0" applyFont="1" applyBorder="1" applyAlignment="1">
      <alignment horizontal="center" vertical="center"/>
    </xf>
    <xf numFmtId="0" fontId="61" fillId="0" borderId="49" xfId="0" applyFont="1" applyBorder="1" applyAlignment="1">
      <alignment horizontal="center" vertical="center"/>
    </xf>
    <xf numFmtId="0" fontId="60" fillId="0" borderId="50" xfId="0" applyFont="1" applyBorder="1" applyAlignment="1">
      <alignment horizontal="center" vertical="center" wrapText="1"/>
    </xf>
    <xf numFmtId="0" fontId="60" fillId="0" borderId="51" xfId="0" applyFont="1" applyBorder="1" applyAlignment="1">
      <alignment horizontal="center" vertical="center" wrapText="1"/>
    </xf>
    <xf numFmtId="0" fontId="62" fillId="0" borderId="0" xfId="0" applyFont="1" applyAlignment="1">
      <alignment vertical="center"/>
    </xf>
    <xf numFmtId="0" fontId="61" fillId="0" borderId="53" xfId="0" applyFont="1" applyBorder="1" applyAlignment="1">
      <alignment horizontal="center" vertical="center"/>
    </xf>
    <xf numFmtId="0" fontId="61" fillId="0" borderId="5" xfId="0" applyFont="1" applyBorder="1" applyAlignment="1">
      <alignment horizontal="center" vertical="center"/>
    </xf>
    <xf numFmtId="0" fontId="61" fillId="0" borderId="8" xfId="0" applyFont="1" applyBorder="1" applyAlignment="1">
      <alignment horizontal="center" vertical="center"/>
    </xf>
    <xf numFmtId="0" fontId="61" fillId="0" borderId="54" xfId="0" applyFont="1" applyBorder="1" applyAlignment="1">
      <alignment horizontal="center" vertical="center" wrapText="1"/>
    </xf>
    <xf numFmtId="0" fontId="61" fillId="0" borderId="23" xfId="0" applyFont="1" applyBorder="1" applyAlignment="1">
      <alignment horizontal="center" vertical="center" wrapText="1"/>
    </xf>
    <xf numFmtId="0" fontId="60" fillId="0" borderId="3" xfId="0" applyFont="1" applyBorder="1" applyAlignment="1">
      <alignment horizontal="center" vertical="center" wrapText="1"/>
    </xf>
    <xf numFmtId="0" fontId="61" fillId="0" borderId="3" xfId="0" applyFont="1" applyBorder="1" applyAlignment="1">
      <alignment horizontal="center" vertical="center"/>
    </xf>
    <xf numFmtId="0" fontId="61" fillId="0" borderId="55" xfId="0" applyFont="1" applyBorder="1" applyAlignment="1">
      <alignment horizontal="center" vertical="center"/>
    </xf>
    <xf numFmtId="0" fontId="61" fillId="0" borderId="56" xfId="0" applyFont="1" applyBorder="1" applyAlignment="1">
      <alignment horizontal="center" vertical="center"/>
    </xf>
    <xf numFmtId="0" fontId="61" fillId="0" borderId="44" xfId="0" applyFont="1" applyBorder="1" applyAlignment="1">
      <alignment horizontal="center" vertical="center"/>
    </xf>
    <xf numFmtId="0" fontId="61" fillId="0" borderId="55" xfId="0" applyFont="1" applyBorder="1" applyAlignment="1">
      <alignment horizontal="center" vertical="center" wrapText="1"/>
    </xf>
    <xf numFmtId="0" fontId="61" fillId="0" borderId="47" xfId="0" applyFont="1" applyBorder="1" applyAlignment="1">
      <alignment horizontal="center" vertical="center" wrapText="1"/>
    </xf>
    <xf numFmtId="0" fontId="60" fillId="0" borderId="57" xfId="0" applyFont="1" applyBorder="1" applyAlignment="1">
      <alignment horizontal="center" vertical="center" wrapText="1"/>
    </xf>
    <xf numFmtId="0" fontId="60" fillId="0" borderId="9" xfId="0" applyFont="1" applyBorder="1" applyAlignment="1">
      <alignment horizontal="center" vertical="center" wrapText="1"/>
    </xf>
    <xf numFmtId="0" fontId="60" fillId="0" borderId="54" xfId="0" applyFont="1" applyBorder="1" applyAlignment="1">
      <alignment horizontal="center" vertical="center" wrapText="1"/>
    </xf>
    <xf numFmtId="0" fontId="60" fillId="0" borderId="23" xfId="0" applyFont="1" applyBorder="1" applyAlignment="1">
      <alignment horizontal="center" vertical="center" wrapText="1"/>
    </xf>
    <xf numFmtId="0" fontId="61" fillId="0" borderId="3" xfId="0" applyFont="1" applyBorder="1" applyAlignment="1">
      <alignment horizontal="center" vertical="center" wrapText="1"/>
    </xf>
    <xf numFmtId="0" fontId="61" fillId="0" borderId="58" xfId="0" applyFont="1" applyBorder="1" applyAlignment="1">
      <alignment horizontal="center" vertical="center"/>
    </xf>
    <xf numFmtId="0" fontId="61" fillId="0" borderId="59" xfId="0" applyFont="1" applyBorder="1" applyAlignment="1">
      <alignment horizontal="center" vertical="center"/>
    </xf>
    <xf numFmtId="0" fontId="60" fillId="0" borderId="60" xfId="0" applyFont="1" applyBorder="1" applyAlignment="1">
      <alignment horizontal="center" vertical="center" wrapText="1"/>
    </xf>
    <xf numFmtId="0" fontId="60" fillId="0" borderId="31" xfId="0" applyFont="1" applyBorder="1" applyAlignment="1">
      <alignment horizontal="center" vertical="center" wrapText="1"/>
    </xf>
    <xf numFmtId="0" fontId="60" fillId="0" borderId="27" xfId="0" applyFont="1" applyBorder="1" applyAlignment="1">
      <alignment horizontal="center" vertical="center" wrapText="1"/>
    </xf>
    <xf numFmtId="0" fontId="61" fillId="0" borderId="61" xfId="0" applyFont="1" applyBorder="1" applyAlignment="1">
      <alignment horizontal="center" vertical="center" wrapText="1"/>
    </xf>
    <xf numFmtId="0" fontId="61" fillId="0" borderId="29" xfId="0" applyFont="1" applyBorder="1" applyAlignment="1">
      <alignment horizontal="center" vertical="center" wrapText="1"/>
    </xf>
    <xf numFmtId="0" fontId="60" fillId="0" borderId="62" xfId="0" applyFont="1" applyBorder="1" applyAlignment="1">
      <alignment horizontal="center" vertical="center" wrapText="1"/>
    </xf>
    <xf numFmtId="0" fontId="60" fillId="9" borderId="63" xfId="0" applyFont="1" applyFill="1" applyBorder="1" applyAlignment="1">
      <alignment horizontal="center" vertical="center"/>
    </xf>
    <xf numFmtId="0" fontId="60" fillId="0" borderId="64" xfId="0" applyFont="1" applyBorder="1" applyAlignment="1">
      <alignment horizontal="center" vertical="center"/>
    </xf>
    <xf numFmtId="0" fontId="60" fillId="0" borderId="65" xfId="0" applyFont="1" applyBorder="1" applyAlignment="1">
      <alignment horizontal="center" vertical="center" wrapText="1"/>
    </xf>
    <xf numFmtId="0" fontId="60" fillId="0" borderId="66" xfId="0" applyFont="1" applyBorder="1" applyAlignment="1">
      <alignment horizontal="center" vertical="center" wrapText="1"/>
    </xf>
    <xf numFmtId="0" fontId="61" fillId="0" borderId="67" xfId="0" applyFont="1" applyBorder="1" applyAlignment="1">
      <alignment horizontal="center" vertical="center" wrapText="1"/>
    </xf>
    <xf numFmtId="0" fontId="61" fillId="0" borderId="68" xfId="0" applyFont="1" applyBorder="1" applyAlignment="1">
      <alignment horizontal="center" vertical="center" wrapText="1"/>
    </xf>
    <xf numFmtId="0" fontId="61" fillId="0" borderId="69" xfId="0" applyFont="1" applyBorder="1" applyAlignment="1">
      <alignment horizontal="center" vertical="center" wrapText="1"/>
    </xf>
    <xf numFmtId="0" fontId="60" fillId="0" borderId="61" xfId="0" applyFont="1" applyBorder="1" applyAlignment="1">
      <alignment horizontal="center" vertical="center" wrapText="1"/>
    </xf>
    <xf numFmtId="0" fontId="60" fillId="0" borderId="30" xfId="0" applyFont="1" applyBorder="1" applyAlignment="1">
      <alignment horizontal="center" vertical="center" wrapText="1"/>
    </xf>
    <xf numFmtId="0" fontId="60" fillId="0" borderId="68" xfId="0" applyFont="1" applyBorder="1" applyAlignment="1">
      <alignment horizontal="center" vertical="center" wrapText="1"/>
    </xf>
    <xf numFmtId="0" fontId="61" fillId="0" borderId="5" xfId="0" applyFont="1" applyBorder="1" applyAlignment="1">
      <alignment horizontal="center" vertical="center" wrapText="1"/>
    </xf>
    <xf numFmtId="0" fontId="61" fillId="0" borderId="70" xfId="0" applyFont="1" applyBorder="1" applyAlignment="1">
      <alignment horizontal="center" vertical="center" wrapText="1"/>
    </xf>
    <xf numFmtId="0" fontId="60" fillId="0" borderId="48" xfId="0" applyFont="1" applyBorder="1" applyAlignment="1">
      <alignment horizontal="center" vertical="center" wrapText="1"/>
    </xf>
    <xf numFmtId="0" fontId="60" fillId="0" borderId="52" xfId="0" applyFont="1" applyBorder="1" applyAlignment="1">
      <alignment horizontal="center" vertical="center" wrapText="1"/>
    </xf>
    <xf numFmtId="0" fontId="61" fillId="0" borderId="71" xfId="0" applyFont="1" applyBorder="1" applyAlignment="1">
      <alignment horizontal="center" vertical="center"/>
    </xf>
    <xf numFmtId="0" fontId="61" fillId="0" borderId="72" xfId="0" applyFont="1" applyBorder="1" applyAlignment="1">
      <alignment horizontal="center" vertical="center"/>
    </xf>
    <xf numFmtId="0" fontId="61" fillId="0" borderId="73" xfId="0" applyFont="1" applyBorder="1" applyAlignment="1">
      <alignment horizontal="center" vertical="center"/>
    </xf>
    <xf numFmtId="0" fontId="61" fillId="0" borderId="74" xfId="0" applyFont="1" applyBorder="1" applyAlignment="1">
      <alignment horizontal="center" vertical="center"/>
    </xf>
    <xf numFmtId="0" fontId="61" fillId="0" borderId="75" xfId="0" applyFont="1" applyBorder="1" applyAlignment="1">
      <alignment horizontal="center" vertical="center" wrapText="1"/>
    </xf>
    <xf numFmtId="0" fontId="61" fillId="0" borderId="76" xfId="0" applyFont="1" applyBorder="1" applyAlignment="1">
      <alignment horizontal="center" vertical="center" wrapText="1"/>
    </xf>
    <xf numFmtId="0" fontId="61" fillId="0" borderId="77" xfId="0" applyFont="1" applyBorder="1" applyAlignment="1">
      <alignment horizontal="center" vertical="center" wrapText="1"/>
    </xf>
    <xf numFmtId="0" fontId="60" fillId="0" borderId="78" xfId="0" applyFont="1" applyBorder="1" applyAlignment="1">
      <alignment horizontal="center" vertical="center" wrapText="1"/>
    </xf>
    <xf numFmtId="0" fontId="60" fillId="0" borderId="79" xfId="0" applyFont="1" applyBorder="1" applyAlignment="1">
      <alignment horizontal="center" vertical="center" wrapText="1"/>
    </xf>
    <xf numFmtId="0" fontId="60" fillId="0" borderId="76" xfId="0" applyFont="1" applyBorder="1" applyAlignment="1">
      <alignment horizontal="center" vertical="center" wrapText="1"/>
    </xf>
    <xf numFmtId="0" fontId="60" fillId="0" borderId="80" xfId="0" applyFont="1" applyBorder="1" applyAlignment="1">
      <alignment horizontal="center" vertical="center" wrapText="1"/>
    </xf>
    <xf numFmtId="0" fontId="60" fillId="0" borderId="81" xfId="0" applyFont="1" applyBorder="1" applyAlignment="1">
      <alignment horizontal="center" vertical="center" wrapText="1"/>
    </xf>
    <xf numFmtId="0" fontId="47" fillId="0" borderId="0" xfId="0" applyFont="1" applyAlignment="1">
      <alignment horizontal="left" vertical="center"/>
    </xf>
    <xf numFmtId="0" fontId="24" fillId="0" borderId="0" xfId="0" applyFont="1" applyAlignment="1">
      <alignment vertical="center"/>
    </xf>
    <xf numFmtId="0" fontId="46" fillId="0" borderId="0" xfId="0" applyFont="1" applyAlignment="1">
      <alignment vertical="center"/>
    </xf>
    <xf numFmtId="0" fontId="63" fillId="0" borderId="0" xfId="0" applyFont="1"/>
    <xf numFmtId="0" fontId="64" fillId="0" borderId="0" xfId="0" applyFont="1"/>
    <xf numFmtId="0" fontId="39" fillId="0" borderId="82" xfId="0" applyFont="1" applyBorder="1" applyAlignment="1">
      <alignment horizontal="center" vertical="center" wrapText="1"/>
    </xf>
    <xf numFmtId="0" fontId="39" fillId="0" borderId="83" xfId="0" applyFont="1" applyBorder="1" applyAlignment="1">
      <alignment horizontal="center" vertical="center" wrapText="1"/>
    </xf>
    <xf numFmtId="0" fontId="39" fillId="0" borderId="84" xfId="0" applyFont="1" applyBorder="1" applyAlignment="1">
      <alignment horizontal="center" vertical="center" wrapText="1"/>
    </xf>
    <xf numFmtId="0" fontId="39" fillId="0" borderId="85" xfId="0" applyFont="1" applyBorder="1" applyAlignment="1">
      <alignment horizontal="center" vertical="center" wrapText="1"/>
    </xf>
    <xf numFmtId="0" fontId="24" fillId="0" borderId="3" xfId="0" applyFont="1" applyBorder="1" applyAlignment="1">
      <alignment horizontal="center" vertical="center"/>
    </xf>
    <xf numFmtId="0" fontId="24" fillId="0" borderId="86" xfId="0" applyFont="1" applyBorder="1" applyAlignment="1">
      <alignment horizontal="center" vertical="center"/>
    </xf>
    <xf numFmtId="176" fontId="49" fillId="0" borderId="87" xfId="0" applyNumberFormat="1" applyFont="1" applyBorder="1" applyAlignment="1">
      <alignment horizontal="center"/>
    </xf>
    <xf numFmtId="176" fontId="49" fillId="0" borderId="88" xfId="0" applyNumberFormat="1" applyFont="1" applyBorder="1" applyAlignment="1">
      <alignment horizontal="center"/>
    </xf>
    <xf numFmtId="176" fontId="49" fillId="0" borderId="89" xfId="0" applyNumberFormat="1" applyFont="1" applyBorder="1" applyAlignment="1">
      <alignment horizontal="center"/>
    </xf>
    <xf numFmtId="0" fontId="66" fillId="0" borderId="0" xfId="0" applyFont="1" applyAlignment="1">
      <alignment horizontal="center" vertical="center" wrapText="1"/>
    </xf>
    <xf numFmtId="0" fontId="67" fillId="0" borderId="0" xfId="0" applyFont="1" applyAlignment="1">
      <alignment horizontal="center" vertical="center"/>
    </xf>
    <xf numFmtId="0" fontId="36" fillId="0" borderId="3" xfId="0" applyFont="1" applyBorder="1"/>
    <xf numFmtId="176" fontId="68" fillId="0" borderId="0" xfId="0" applyNumberFormat="1" applyFont="1" applyAlignment="1">
      <alignment horizontal="center" vertical="center"/>
    </xf>
    <xf numFmtId="176" fontId="39" fillId="0" borderId="0" xfId="0" applyNumberFormat="1" applyFont="1" applyAlignment="1">
      <alignment horizontal="center"/>
    </xf>
    <xf numFmtId="176" fontId="45" fillId="0" borderId="0" xfId="0" applyNumberFormat="1" applyFont="1" applyAlignment="1">
      <alignment horizontal="center"/>
    </xf>
    <xf numFmtId="0" fontId="70" fillId="0" borderId="3" xfId="1" applyFont="1" applyBorder="1" applyAlignment="1">
      <alignment horizontal="center" vertical="center"/>
    </xf>
    <xf numFmtId="0" fontId="70" fillId="0" borderId="86" xfId="1" applyFont="1" applyBorder="1" applyAlignment="1">
      <alignment horizontal="center" vertical="center"/>
    </xf>
    <xf numFmtId="0" fontId="68" fillId="0" borderId="0" xfId="0" applyFont="1" applyAlignment="1">
      <alignment horizontal="center" vertical="center"/>
    </xf>
    <xf numFmtId="0" fontId="64" fillId="0" borderId="0" xfId="0" applyFont="1" applyAlignment="1">
      <alignment horizontal="center"/>
    </xf>
    <xf numFmtId="0" fontId="36" fillId="0" borderId="0" xfId="0" applyFont="1" applyAlignment="1">
      <alignment horizontal="left"/>
    </xf>
    <xf numFmtId="0" fontId="71" fillId="0" borderId="82" xfId="9" applyFont="1" applyBorder="1" applyAlignment="1">
      <alignment horizontal="center" vertical="center" wrapText="1"/>
    </xf>
    <xf numFmtId="0" fontId="71" fillId="0" borderId="83" xfId="9" applyFont="1" applyBorder="1" applyAlignment="1">
      <alignment horizontal="center" vertical="center" wrapText="1"/>
    </xf>
    <xf numFmtId="0" fontId="71" fillId="0" borderId="83" xfId="9" applyFont="1" applyBorder="1" applyAlignment="1">
      <alignment horizontal="center" vertical="center"/>
    </xf>
    <xf numFmtId="0" fontId="66" fillId="0" borderId="85" xfId="0" applyFont="1" applyBorder="1" applyAlignment="1">
      <alignment horizontal="center" vertical="center" wrapText="1"/>
    </xf>
    <xf numFmtId="0" fontId="72" fillId="0" borderId="91" xfId="9" applyFont="1" applyBorder="1" applyAlignment="1">
      <alignment horizontal="center" vertical="center"/>
    </xf>
    <xf numFmtId="0" fontId="73" fillId="0" borderId="92" xfId="9" applyFont="1" applyBorder="1" applyAlignment="1">
      <alignment horizontal="center" vertical="center"/>
    </xf>
    <xf numFmtId="0" fontId="71" fillId="0" borderId="92" xfId="9" applyFont="1" applyBorder="1" applyAlignment="1">
      <alignment horizontal="center" vertical="center"/>
    </xf>
    <xf numFmtId="0" fontId="71" fillId="12" borderId="94" xfId="9" applyFont="1" applyFill="1" applyBorder="1" applyAlignment="1">
      <alignment horizontal="center" vertical="center" wrapText="1"/>
    </xf>
    <xf numFmtId="0" fontId="71" fillId="0" borderId="93" xfId="9" applyFont="1" applyBorder="1" applyAlignment="1">
      <alignment horizontal="center" vertical="center"/>
    </xf>
    <xf numFmtId="0" fontId="72" fillId="0" borderId="95" xfId="9" applyFont="1" applyBorder="1" applyAlignment="1">
      <alignment horizontal="center" vertical="center"/>
    </xf>
    <xf numFmtId="0" fontId="71" fillId="0" borderId="97" xfId="9" applyFont="1" applyBorder="1" applyAlignment="1">
      <alignment horizontal="center" vertical="center"/>
    </xf>
    <xf numFmtId="0" fontId="71" fillId="0" borderId="99" xfId="9" applyFont="1" applyBorder="1" applyAlignment="1">
      <alignment horizontal="center" vertical="center" wrapText="1"/>
    </xf>
    <xf numFmtId="0" fontId="71" fillId="0" borderId="98" xfId="9" applyFont="1" applyBorder="1" applyAlignment="1">
      <alignment horizontal="center" vertical="center"/>
    </xf>
    <xf numFmtId="0" fontId="72" fillId="0" borderId="100" xfId="9" applyFont="1" applyBorder="1" applyAlignment="1">
      <alignment horizontal="center" vertical="center"/>
    </xf>
    <xf numFmtId="0" fontId="73" fillId="0" borderId="5" xfId="9" applyFont="1" applyBorder="1" applyAlignment="1">
      <alignment horizontal="center" vertical="center"/>
    </xf>
    <xf numFmtId="0" fontId="66" fillId="12" borderId="5" xfId="9" applyFont="1" applyFill="1" applyBorder="1" applyAlignment="1">
      <alignment horizontal="center" vertical="center" wrapText="1"/>
    </xf>
    <xf numFmtId="0" fontId="71" fillId="12" borderId="70" xfId="9" applyFont="1" applyFill="1" applyBorder="1" applyAlignment="1">
      <alignment horizontal="center" vertical="center"/>
    </xf>
    <xf numFmtId="0" fontId="72" fillId="0" borderId="78" xfId="9" applyFont="1" applyBorder="1" applyAlignment="1">
      <alignment horizontal="center" vertical="center"/>
    </xf>
    <xf numFmtId="0" fontId="73" fillId="0" borderId="76" xfId="9" applyFont="1" applyBorder="1" applyAlignment="1">
      <alignment horizontal="center" vertical="center"/>
    </xf>
    <xf numFmtId="0" fontId="71" fillId="12" borderId="79" xfId="9" applyFont="1" applyFill="1" applyBorder="1" applyAlignment="1">
      <alignment horizontal="center" vertical="center" wrapText="1"/>
    </xf>
    <xf numFmtId="0" fontId="66" fillId="12" borderId="76" xfId="9" applyFont="1" applyFill="1" applyBorder="1" applyAlignment="1">
      <alignment horizontal="center" vertical="center" wrapText="1"/>
    </xf>
    <xf numFmtId="0" fontId="66" fillId="12" borderId="101" xfId="9" applyFont="1" applyFill="1" applyBorder="1" applyAlignment="1">
      <alignment horizontal="center" vertical="center" wrapText="1"/>
    </xf>
    <xf numFmtId="0" fontId="73" fillId="0" borderId="97" xfId="9" applyFont="1" applyBorder="1" applyAlignment="1">
      <alignment horizontal="center" vertical="center"/>
    </xf>
    <xf numFmtId="0" fontId="71" fillId="12" borderId="99" xfId="9" applyFont="1" applyFill="1" applyBorder="1" applyAlignment="1">
      <alignment horizontal="center" vertical="center"/>
    </xf>
    <xf numFmtId="0" fontId="71" fillId="12" borderId="102" xfId="9" applyFont="1" applyFill="1" applyBorder="1" applyAlignment="1">
      <alignment horizontal="center" vertical="center" wrapText="1"/>
    </xf>
    <xf numFmtId="0" fontId="66" fillId="12" borderId="98" xfId="9" applyFont="1" applyFill="1" applyBorder="1" applyAlignment="1">
      <alignment horizontal="center" vertical="center" wrapText="1"/>
    </xf>
    <xf numFmtId="0" fontId="72" fillId="12" borderId="54" xfId="9" applyFont="1" applyFill="1" applyBorder="1" applyAlignment="1">
      <alignment horizontal="center" vertical="center"/>
    </xf>
    <xf numFmtId="0" fontId="73" fillId="12" borderId="3" xfId="9" applyFont="1" applyFill="1" applyBorder="1" applyAlignment="1">
      <alignment horizontal="center" vertical="center"/>
    </xf>
    <xf numFmtId="0" fontId="71" fillId="12" borderId="23" xfId="9" applyFont="1" applyFill="1" applyBorder="1" applyAlignment="1">
      <alignment horizontal="center" vertical="center" wrapText="1"/>
    </xf>
    <xf numFmtId="0" fontId="66" fillId="12" borderId="3" xfId="9" applyFont="1" applyFill="1" applyBorder="1" applyAlignment="1">
      <alignment horizontal="center" vertical="center" wrapText="1"/>
    </xf>
    <xf numFmtId="0" fontId="74" fillId="12" borderId="70" xfId="9" applyFont="1" applyFill="1" applyBorder="1" applyAlignment="1">
      <alignment horizontal="center" vertical="center" wrapText="1"/>
    </xf>
    <xf numFmtId="0" fontId="72" fillId="12" borderId="78" xfId="9" applyFont="1" applyFill="1" applyBorder="1" applyAlignment="1">
      <alignment horizontal="center" vertical="center"/>
    </xf>
    <xf numFmtId="0" fontId="75" fillId="12" borderId="76" xfId="9" applyFont="1" applyFill="1" applyBorder="1" applyAlignment="1">
      <alignment horizontal="center" vertical="center"/>
    </xf>
    <xf numFmtId="0" fontId="71" fillId="12" borderId="101" xfId="9" applyFont="1" applyFill="1" applyBorder="1" applyAlignment="1">
      <alignment horizontal="center" vertical="center" wrapText="1"/>
    </xf>
    <xf numFmtId="0" fontId="72" fillId="12" borderId="95" xfId="9" applyFont="1" applyFill="1" applyBorder="1" applyAlignment="1">
      <alignment horizontal="center" vertical="center"/>
    </xf>
    <xf numFmtId="0" fontId="73" fillId="12" borderId="97" xfId="9" applyFont="1" applyFill="1" applyBorder="1" applyAlignment="1">
      <alignment horizontal="center" vertical="center"/>
    </xf>
    <xf numFmtId="0" fontId="66" fillId="12" borderId="97" xfId="9" applyFont="1" applyFill="1" applyBorder="1" applyAlignment="1">
      <alignment horizontal="center" vertical="center" wrapText="1"/>
    </xf>
    <xf numFmtId="0" fontId="73" fillId="12" borderId="98" xfId="9" applyFont="1" applyFill="1" applyBorder="1" applyAlignment="1">
      <alignment horizontal="center" vertical="center" wrapText="1"/>
    </xf>
    <xf numFmtId="0" fontId="72" fillId="0" borderId="54" xfId="9" applyFont="1" applyBorder="1" applyAlignment="1">
      <alignment horizontal="center" vertical="center"/>
    </xf>
    <xf numFmtId="0" fontId="73" fillId="0" borderId="3" xfId="9" applyFont="1" applyBorder="1" applyAlignment="1">
      <alignment horizontal="center" vertical="center"/>
    </xf>
    <xf numFmtId="0" fontId="66" fillId="12" borderId="23" xfId="9" applyFont="1" applyFill="1" applyBorder="1" applyAlignment="1">
      <alignment horizontal="center" vertical="center" wrapText="1"/>
    </xf>
    <xf numFmtId="0" fontId="71" fillId="12" borderId="55" xfId="9" applyFont="1" applyFill="1" applyBorder="1" applyAlignment="1">
      <alignment horizontal="center" vertical="center" wrapText="1"/>
    </xf>
    <xf numFmtId="0" fontId="71" fillId="12" borderId="3" xfId="9" applyFont="1" applyFill="1" applyBorder="1" applyAlignment="1">
      <alignment horizontal="center" vertical="center" wrapText="1"/>
    </xf>
    <xf numFmtId="0" fontId="71" fillId="12" borderId="79" xfId="9" applyFont="1" applyFill="1" applyBorder="1" applyAlignment="1">
      <alignment horizontal="center" vertical="center"/>
    </xf>
    <xf numFmtId="0" fontId="71" fillId="12" borderId="76" xfId="9" applyFont="1" applyFill="1" applyBorder="1" applyAlignment="1">
      <alignment horizontal="center" vertical="center"/>
    </xf>
    <xf numFmtId="0" fontId="71" fillId="12" borderId="103" xfId="9" applyFont="1" applyFill="1" applyBorder="1" applyAlignment="1">
      <alignment horizontal="center" vertical="center"/>
    </xf>
    <xf numFmtId="0" fontId="71" fillId="12" borderId="5" xfId="9" applyFont="1" applyFill="1" applyBorder="1" applyAlignment="1">
      <alignment horizontal="center" vertical="center"/>
    </xf>
    <xf numFmtId="0" fontId="71" fillId="0" borderId="79" xfId="9" applyFont="1" applyBorder="1" applyAlignment="1">
      <alignment horizontal="center" vertical="center" wrapText="1"/>
    </xf>
    <xf numFmtId="0" fontId="71" fillId="0" borderId="76" xfId="9" applyFont="1" applyBorder="1" applyAlignment="1">
      <alignment horizontal="center" vertical="center"/>
    </xf>
    <xf numFmtId="0" fontId="71" fillId="0" borderId="101" xfId="9" applyFont="1" applyBorder="1" applyAlignment="1">
      <alignment horizontal="center" vertical="center"/>
    </xf>
    <xf numFmtId="0" fontId="77" fillId="0" borderId="3" xfId="9" applyFont="1" applyBorder="1" applyAlignment="1">
      <alignment horizontal="center" vertical="center"/>
    </xf>
    <xf numFmtId="0" fontId="45" fillId="0" borderId="0" xfId="0" applyFont="1" applyAlignment="1">
      <alignment horizontal="center" vertical="center"/>
    </xf>
    <xf numFmtId="1" fontId="45" fillId="0" borderId="0" xfId="0" applyNumberFormat="1" applyFont="1" applyAlignment="1">
      <alignment horizontal="center" vertical="center"/>
    </xf>
    <xf numFmtId="1" fontId="36" fillId="0" borderId="0" xfId="0" applyNumberFormat="1" applyFont="1"/>
    <xf numFmtId="0" fontId="61" fillId="0" borderId="104" xfId="0" applyFont="1" applyBorder="1" applyAlignment="1">
      <alignment horizontal="center" vertical="center" wrapText="1"/>
    </xf>
    <xf numFmtId="0" fontId="61" fillId="0" borderId="8" xfId="0" applyFont="1" applyBorder="1" applyAlignment="1">
      <alignment horizontal="center" vertical="center" wrapText="1"/>
    </xf>
    <xf numFmtId="0" fontId="54" fillId="0" borderId="7" xfId="0" applyFont="1" applyBorder="1"/>
    <xf numFmtId="0" fontId="36" fillId="0" borderId="105" xfId="0" applyFont="1" applyBorder="1"/>
    <xf numFmtId="0" fontId="36" fillId="0" borderId="8" xfId="0" applyFont="1" applyBorder="1"/>
    <xf numFmtId="0" fontId="36" fillId="9" borderId="107" xfId="0" applyFont="1" applyFill="1" applyBorder="1" applyAlignment="1">
      <alignment horizontal="center" vertical="center"/>
    </xf>
    <xf numFmtId="0" fontId="36" fillId="9" borderId="1" xfId="0" applyFont="1" applyFill="1" applyBorder="1" applyAlignment="1">
      <alignment horizontal="center" vertical="center"/>
    </xf>
    <xf numFmtId="0" fontId="36" fillId="9" borderId="108" xfId="0" applyFont="1" applyFill="1" applyBorder="1" applyAlignment="1">
      <alignment horizontal="center" vertical="center"/>
    </xf>
    <xf numFmtId="0" fontId="36" fillId="9" borderId="109" xfId="0" applyFont="1" applyFill="1" applyBorder="1" applyAlignment="1">
      <alignment horizontal="center" vertical="center"/>
    </xf>
    <xf numFmtId="0" fontId="36" fillId="9" borderId="110" xfId="0" applyFont="1" applyFill="1" applyBorder="1" applyAlignment="1">
      <alignment horizontal="center" vertical="center"/>
    </xf>
    <xf numFmtId="0" fontId="36" fillId="11" borderId="109" xfId="0" applyFont="1" applyFill="1" applyBorder="1" applyAlignment="1">
      <alignment horizontal="center" vertical="center"/>
    </xf>
    <xf numFmtId="0" fontId="36" fillId="11" borderId="110" xfId="0" applyFont="1" applyFill="1" applyBorder="1" applyAlignment="1">
      <alignment horizontal="center" vertical="center"/>
    </xf>
    <xf numFmtId="0" fontId="36" fillId="5" borderId="7" xfId="0" applyFont="1" applyFill="1" applyBorder="1"/>
    <xf numFmtId="179" fontId="52" fillId="5" borderId="113" xfId="230" quotePrefix="1" applyNumberFormat="1" applyFont="1" applyFill="1" applyBorder="1" applyAlignment="1">
      <alignment horizontal="center"/>
    </xf>
    <xf numFmtId="179" fontId="52" fillId="5" borderId="114" xfId="230" applyNumberFormat="1" applyFont="1" applyFill="1" applyBorder="1" applyAlignment="1">
      <alignment horizontal="center"/>
    </xf>
    <xf numFmtId="179" fontId="52" fillId="5" borderId="24" xfId="230" applyNumberFormat="1" applyFont="1" applyFill="1" applyBorder="1" applyAlignment="1">
      <alignment horizontal="center"/>
    </xf>
    <xf numFmtId="179" fontId="52" fillId="5" borderId="14" xfId="230" applyNumberFormat="1" applyFont="1" applyFill="1" applyBorder="1" applyAlignment="1">
      <alignment horizontal="center"/>
    </xf>
    <xf numFmtId="179" fontId="52" fillId="5" borderId="113" xfId="230" applyNumberFormat="1" applyFont="1" applyFill="1" applyBorder="1" applyAlignment="1">
      <alignment horizontal="center"/>
    </xf>
    <xf numFmtId="179" fontId="52" fillId="5" borderId="17" xfId="230" applyNumberFormat="1" applyFont="1" applyFill="1" applyBorder="1" applyAlignment="1">
      <alignment horizontal="center"/>
    </xf>
    <xf numFmtId="179" fontId="52" fillId="5" borderId="25" xfId="230" applyNumberFormat="1" applyFont="1" applyFill="1" applyBorder="1" applyAlignment="1">
      <alignment horizontal="center"/>
    </xf>
    <xf numFmtId="179" fontId="52" fillId="5" borderId="115" xfId="230" applyNumberFormat="1" applyFont="1" applyFill="1" applyBorder="1" applyAlignment="1">
      <alignment horizontal="center"/>
    </xf>
    <xf numFmtId="38" fontId="36" fillId="5" borderId="14" xfId="0" applyNumberFormat="1" applyFont="1" applyFill="1" applyBorder="1"/>
    <xf numFmtId="0" fontId="78" fillId="0" borderId="11" xfId="232" applyFont="1" applyBorder="1" applyAlignment="1">
      <alignment vertical="center" wrapText="1"/>
    </xf>
    <xf numFmtId="0" fontId="78" fillId="0" borderId="11" xfId="232" applyFont="1" applyBorder="1">
      <alignment vertical="center"/>
    </xf>
    <xf numFmtId="0" fontId="78" fillId="0" borderId="14" xfId="232" applyFont="1" applyBorder="1">
      <alignment vertical="center"/>
    </xf>
    <xf numFmtId="0" fontId="78" fillId="0" borderId="15" xfId="232" applyFont="1" applyBorder="1">
      <alignment vertical="center"/>
    </xf>
    <xf numFmtId="0" fontId="78" fillId="0" borderId="12" xfId="232" applyFont="1" applyBorder="1">
      <alignment vertical="center"/>
    </xf>
    <xf numFmtId="0" fontId="78" fillId="0" borderId="2" xfId="232" applyFont="1" applyBorder="1">
      <alignment vertical="center"/>
    </xf>
    <xf numFmtId="0" fontId="78" fillId="0" borderId="13" xfId="232" applyFont="1" applyBorder="1">
      <alignment vertical="center"/>
    </xf>
    <xf numFmtId="0" fontId="78" fillId="0" borderId="16" xfId="232" applyFont="1" applyBorder="1">
      <alignment vertical="center"/>
    </xf>
    <xf numFmtId="0" fontId="80" fillId="2" borderId="3" xfId="232" applyFont="1" applyFill="1" applyBorder="1">
      <alignment vertical="center"/>
    </xf>
    <xf numFmtId="0" fontId="78" fillId="0" borderId="21" xfId="232" applyFont="1" applyBorder="1">
      <alignment vertical="center"/>
    </xf>
    <xf numFmtId="0" fontId="78" fillId="0" borderId="20" xfId="232" applyFont="1" applyBorder="1">
      <alignment vertical="center"/>
    </xf>
    <xf numFmtId="0" fontId="78" fillId="0" borderId="22" xfId="232" applyFont="1" applyBorder="1">
      <alignment vertical="center"/>
    </xf>
    <xf numFmtId="0" fontId="78" fillId="0" borderId="19" xfId="232" applyFont="1" applyBorder="1">
      <alignment vertical="center"/>
    </xf>
    <xf numFmtId="0" fontId="79" fillId="2" borderId="3" xfId="125" applyFont="1" applyFill="1" applyBorder="1" applyAlignment="1">
      <alignment horizontal="center" vertical="center"/>
    </xf>
    <xf numFmtId="0" fontId="36" fillId="0" borderId="0" xfId="125" applyFont="1" applyAlignment="1">
      <alignment horizontal="center" vertical="center"/>
    </xf>
    <xf numFmtId="0" fontId="81" fillId="0" borderId="0" xfId="125" applyFont="1" applyAlignment="1">
      <alignment horizontal="center" vertical="center"/>
    </xf>
    <xf numFmtId="0" fontId="27" fillId="0" borderId="6" xfId="232" applyFont="1" applyBorder="1">
      <alignment vertical="center"/>
    </xf>
    <xf numFmtId="0" fontId="51" fillId="0" borderId="6" xfId="232" applyFont="1" applyBorder="1">
      <alignment vertical="center"/>
    </xf>
    <xf numFmtId="0" fontId="78" fillId="0" borderId="116" xfId="232" applyFont="1" applyBorder="1">
      <alignment vertical="center"/>
    </xf>
    <xf numFmtId="0" fontId="27" fillId="2" borderId="5" xfId="232" applyFont="1" applyFill="1" applyBorder="1">
      <alignment vertical="center"/>
    </xf>
    <xf numFmtId="0" fontId="27" fillId="2" borderId="103" xfId="232" applyFont="1" applyFill="1" applyBorder="1">
      <alignment vertical="center"/>
    </xf>
    <xf numFmtId="0" fontId="27" fillId="0" borderId="3" xfId="232" applyFont="1" applyBorder="1">
      <alignment vertical="center"/>
    </xf>
    <xf numFmtId="0" fontId="51" fillId="0" borderId="3" xfId="232" applyFont="1" applyBorder="1">
      <alignment vertical="center"/>
    </xf>
    <xf numFmtId="0" fontId="78" fillId="0" borderId="23" xfId="232" applyFont="1" applyBorder="1">
      <alignment vertical="center"/>
    </xf>
    <xf numFmtId="0" fontId="78" fillId="0" borderId="10" xfId="232" applyFont="1" applyBorder="1">
      <alignment vertical="center"/>
    </xf>
    <xf numFmtId="0" fontId="78" fillId="0" borderId="117" xfId="232" applyFont="1" applyBorder="1">
      <alignment vertical="center"/>
    </xf>
    <xf numFmtId="0" fontId="81" fillId="2" borderId="3" xfId="232" applyFont="1" applyFill="1" applyBorder="1">
      <alignment vertical="center"/>
    </xf>
    <xf numFmtId="0" fontId="80" fillId="2" borderId="23" xfId="232" applyFont="1" applyFill="1" applyBorder="1">
      <alignment vertical="center"/>
    </xf>
    <xf numFmtId="0" fontId="78" fillId="0" borderId="6" xfId="232" applyFont="1" applyBorder="1">
      <alignment vertical="center"/>
    </xf>
    <xf numFmtId="0" fontId="78" fillId="0" borderId="3" xfId="232" applyFont="1" applyBorder="1">
      <alignment vertical="center"/>
    </xf>
    <xf numFmtId="176" fontId="39" fillId="0" borderId="0" xfId="232" applyNumberFormat="1" applyFont="1">
      <alignment vertical="center"/>
    </xf>
    <xf numFmtId="179" fontId="27" fillId="12" borderId="32" xfId="230" applyNumberFormat="1" applyFont="1" applyFill="1" applyBorder="1" applyAlignment="1">
      <alignment horizontal="center"/>
    </xf>
    <xf numFmtId="179" fontId="27" fillId="12" borderId="33" xfId="230" applyNumberFormat="1" applyFont="1" applyFill="1" applyBorder="1" applyAlignment="1">
      <alignment horizontal="center"/>
    </xf>
    <xf numFmtId="179" fontId="27" fillId="12" borderId="34" xfId="230" applyNumberFormat="1" applyFont="1" applyFill="1" applyBorder="1" applyAlignment="1">
      <alignment horizontal="center"/>
    </xf>
    <xf numFmtId="179" fontId="27" fillId="12" borderId="15" xfId="230" applyNumberFormat="1" applyFont="1" applyFill="1" applyBorder="1" applyAlignment="1">
      <alignment horizontal="center"/>
    </xf>
    <xf numFmtId="179" fontId="27" fillId="12" borderId="35" xfId="230" applyNumberFormat="1" applyFont="1" applyFill="1" applyBorder="1" applyAlignment="1">
      <alignment horizontal="center"/>
    </xf>
    <xf numFmtId="179" fontId="27" fillId="12" borderId="36" xfId="230" applyNumberFormat="1" applyFont="1" applyFill="1" applyBorder="1" applyAlignment="1">
      <alignment horizontal="center"/>
    </xf>
    <xf numFmtId="0" fontId="36" fillId="0" borderId="23" xfId="0" applyFont="1" applyBorder="1" applyAlignment="1">
      <alignment horizontal="center"/>
    </xf>
    <xf numFmtId="0" fontId="36" fillId="0" borderId="3" xfId="0" applyFont="1" applyBorder="1" applyAlignment="1">
      <alignment horizontal="center"/>
    </xf>
    <xf numFmtId="0" fontId="36" fillId="9" borderId="4" xfId="0" applyFont="1" applyFill="1" applyBorder="1" applyAlignment="1">
      <alignment horizontal="center" vertical="center"/>
    </xf>
    <xf numFmtId="176" fontId="27" fillId="2" borderId="23" xfId="232" applyNumberFormat="1" applyFont="1" applyFill="1" applyBorder="1">
      <alignment vertical="center"/>
    </xf>
    <xf numFmtId="176" fontId="78" fillId="0" borderId="116" xfId="232" applyNumberFormat="1" applyFont="1" applyBorder="1">
      <alignment vertical="center"/>
    </xf>
    <xf numFmtId="176" fontId="78" fillId="0" borderId="14" xfId="232" applyNumberFormat="1" applyFont="1" applyBorder="1">
      <alignment vertical="center"/>
    </xf>
    <xf numFmtId="176" fontId="78" fillId="0" borderId="11" xfId="232" applyNumberFormat="1" applyFont="1" applyBorder="1">
      <alignment vertical="center"/>
    </xf>
    <xf numFmtId="176" fontId="78" fillId="0" borderId="15" xfId="232" applyNumberFormat="1" applyFont="1" applyBorder="1">
      <alignment vertical="center"/>
    </xf>
    <xf numFmtId="176" fontId="27" fillId="2" borderId="3" xfId="232" applyNumberFormat="1" applyFont="1" applyFill="1" applyBorder="1">
      <alignment vertical="center"/>
    </xf>
    <xf numFmtId="0" fontId="38" fillId="0" borderId="3" xfId="232" applyBorder="1">
      <alignment vertical="center"/>
    </xf>
    <xf numFmtId="0" fontId="83" fillId="4" borderId="3" xfId="125" applyFont="1" applyFill="1" applyBorder="1" applyAlignment="1">
      <alignment horizontal="center" vertical="center"/>
    </xf>
    <xf numFmtId="0" fontId="84" fillId="0" borderId="3" xfId="0" applyFont="1" applyBorder="1" applyAlignment="1">
      <alignment horizontal="center" vertical="center"/>
    </xf>
    <xf numFmtId="0" fontId="84" fillId="0" borderId="86" xfId="0" applyFont="1" applyBorder="1" applyAlignment="1">
      <alignment horizontal="center" vertical="center"/>
    </xf>
    <xf numFmtId="0" fontId="84" fillId="0" borderId="3" xfId="0" applyFont="1" applyBorder="1" applyAlignment="1">
      <alignment horizontal="center" vertical="center" wrapText="1"/>
    </xf>
    <xf numFmtId="0" fontId="84" fillId="0" borderId="86" xfId="0" applyFont="1" applyBorder="1" applyAlignment="1">
      <alignment horizontal="center" vertical="center" wrapText="1"/>
    </xf>
    <xf numFmtId="0" fontId="84" fillId="0" borderId="3" xfId="1" applyFont="1" applyBorder="1" applyAlignment="1">
      <alignment horizontal="center" vertical="center"/>
    </xf>
    <xf numFmtId="0" fontId="84" fillId="0" borderId="86" xfId="1" applyFont="1" applyBorder="1" applyAlignment="1">
      <alignment horizontal="center" vertical="center"/>
    </xf>
    <xf numFmtId="0" fontId="36" fillId="0" borderId="23" xfId="0" applyFont="1" applyBorder="1" applyAlignment="1">
      <alignment horizontal="center" vertical="center"/>
    </xf>
    <xf numFmtId="0" fontId="36" fillId="0" borderId="3" xfId="0" applyFont="1" applyBorder="1" applyAlignment="1">
      <alignment horizontal="center" vertical="center"/>
    </xf>
    <xf numFmtId="0" fontId="78" fillId="0" borderId="14" xfId="0" applyFont="1" applyBorder="1" applyAlignment="1">
      <alignment vertical="center"/>
    </xf>
    <xf numFmtId="0" fontId="78" fillId="0" borderId="11" xfId="0" applyFont="1" applyBorder="1" applyAlignment="1">
      <alignment vertical="center"/>
    </xf>
    <xf numFmtId="0" fontId="78" fillId="0" borderId="10" xfId="0" applyFont="1" applyBorder="1" applyAlignment="1">
      <alignment vertical="center"/>
    </xf>
    <xf numFmtId="0" fontId="78" fillId="0" borderId="4" xfId="0" applyFont="1" applyBorder="1" applyAlignment="1">
      <alignment vertical="center"/>
    </xf>
    <xf numFmtId="0" fontId="78" fillId="0" borderId="15" xfId="0" applyFont="1" applyBorder="1" applyAlignment="1">
      <alignment vertical="center"/>
    </xf>
    <xf numFmtId="0" fontId="61" fillId="0" borderId="41" xfId="0" applyFont="1" applyBorder="1" applyAlignment="1">
      <alignment horizontal="center" vertical="center"/>
    </xf>
    <xf numFmtId="0" fontId="61" fillId="0" borderId="40" xfId="0" applyFont="1" applyBorder="1" applyAlignment="1">
      <alignment horizontal="center" vertical="center"/>
    </xf>
    <xf numFmtId="0" fontId="60" fillId="0" borderId="100" xfId="0" applyFont="1" applyBorder="1" applyAlignment="1">
      <alignment horizontal="center" vertical="center" wrapText="1"/>
    </xf>
    <xf numFmtId="0" fontId="60" fillId="0" borderId="103" xfId="0" applyFont="1" applyBorder="1" applyAlignment="1">
      <alignment horizontal="center" vertical="center" wrapText="1"/>
    </xf>
    <xf numFmtId="0" fontId="60" fillId="0" borderId="5" xfId="0" applyFont="1" applyBorder="1" applyAlignment="1">
      <alignment horizontal="center" vertical="center"/>
    </xf>
    <xf numFmtId="0" fontId="61" fillId="0" borderId="70" xfId="0" applyFont="1" applyBorder="1" applyAlignment="1">
      <alignment horizontal="center" vertical="center"/>
    </xf>
    <xf numFmtId="0" fontId="87" fillId="0" borderId="0" xfId="0" applyFont="1" applyAlignment="1">
      <alignment vertical="center"/>
    </xf>
    <xf numFmtId="0" fontId="42" fillId="0" borderId="0" xfId="0" applyFont="1"/>
    <xf numFmtId="0" fontId="88" fillId="0" borderId="10" xfId="0" applyFont="1" applyBorder="1" applyAlignment="1">
      <alignment horizontal="center" vertical="center"/>
    </xf>
    <xf numFmtId="0" fontId="88" fillId="0" borderId="3" xfId="0" applyFont="1" applyBorder="1" applyAlignment="1">
      <alignment horizontal="center" vertical="center"/>
    </xf>
    <xf numFmtId="0" fontId="88" fillId="0" borderId="4" xfId="0" applyFont="1" applyBorder="1" applyAlignment="1">
      <alignment horizontal="center" vertical="center"/>
    </xf>
    <xf numFmtId="176" fontId="27" fillId="0" borderId="15" xfId="0" applyNumberFormat="1" applyFont="1" applyBorder="1" applyAlignment="1">
      <alignment horizontal="center" vertical="center"/>
    </xf>
    <xf numFmtId="0" fontId="36" fillId="14" borderId="106" xfId="0" applyFont="1" applyFill="1" applyBorder="1" applyAlignment="1">
      <alignment horizontal="center" vertical="center"/>
    </xf>
    <xf numFmtId="0" fontId="36" fillId="14" borderId="107" xfId="0" applyFont="1" applyFill="1" applyBorder="1" applyAlignment="1">
      <alignment horizontal="center" vertical="center"/>
    </xf>
    <xf numFmtId="0" fontId="36" fillId="15" borderId="111" xfId="0" applyFont="1" applyFill="1" applyBorder="1" applyAlignment="1">
      <alignment horizontal="center" vertical="center"/>
    </xf>
    <xf numFmtId="0" fontId="36" fillId="14" borderId="112" xfId="0" applyFont="1" applyFill="1" applyBorder="1" applyAlignment="1">
      <alignment horizontal="center" vertical="center"/>
    </xf>
    <xf numFmtId="0" fontId="36" fillId="14" borderId="92" xfId="0" applyFont="1" applyFill="1" applyBorder="1" applyAlignment="1">
      <alignment horizontal="center" vertical="center"/>
    </xf>
    <xf numFmtId="0" fontId="60" fillId="3" borderId="31" xfId="0" applyFont="1" applyFill="1" applyBorder="1" applyAlignment="1">
      <alignment horizontal="center" vertical="center" wrapText="1"/>
    </xf>
    <xf numFmtId="0" fontId="60" fillId="3" borderId="27" xfId="0" applyFont="1" applyFill="1" applyBorder="1" applyAlignment="1">
      <alignment horizontal="center" vertical="center" wrapText="1"/>
    </xf>
    <xf numFmtId="0" fontId="85" fillId="16" borderId="15" xfId="232" applyFont="1" applyFill="1" applyBorder="1">
      <alignment vertical="center"/>
    </xf>
    <xf numFmtId="0" fontId="85" fillId="16" borderId="3" xfId="125" applyFont="1" applyFill="1" applyBorder="1">
      <alignment vertical="center"/>
    </xf>
    <xf numFmtId="0" fontId="85" fillId="16" borderId="11" xfId="232" applyFont="1" applyFill="1" applyBorder="1">
      <alignment vertical="center"/>
    </xf>
    <xf numFmtId="0" fontId="45" fillId="0" borderId="0" xfId="0" applyFont="1"/>
    <xf numFmtId="0" fontId="45" fillId="0" borderId="0" xfId="0" applyFont="1" applyAlignment="1">
      <alignment horizontal="center"/>
    </xf>
    <xf numFmtId="0" fontId="78" fillId="0" borderId="3" xfId="125" applyFont="1" applyFill="1" applyBorder="1">
      <alignment vertical="center"/>
    </xf>
    <xf numFmtId="0" fontId="78" fillId="0" borderId="3" xfId="124" applyFont="1" applyFill="1" applyBorder="1">
      <alignment vertical="center"/>
    </xf>
    <xf numFmtId="0" fontId="78" fillId="0" borderId="3" xfId="125" applyFont="1" applyFill="1" applyBorder="1" applyAlignment="1">
      <alignment horizontal="center" vertical="center"/>
    </xf>
    <xf numFmtId="0" fontId="78" fillId="0" borderId="13" xfId="232" applyFont="1" applyFill="1" applyBorder="1">
      <alignment vertical="center"/>
    </xf>
    <xf numFmtId="0" fontId="78" fillId="0" borderId="17" xfId="232" applyFont="1" applyFill="1" applyBorder="1">
      <alignment vertical="center"/>
    </xf>
    <xf numFmtId="0" fontId="78" fillId="0" borderId="14" xfId="232" applyFont="1" applyFill="1" applyBorder="1">
      <alignment vertical="center"/>
    </xf>
    <xf numFmtId="0" fontId="78" fillId="0" borderId="11" xfId="232" applyFont="1" applyFill="1" applyBorder="1">
      <alignment vertical="center"/>
    </xf>
    <xf numFmtId="0" fontId="82" fillId="0" borderId="14" xfId="232" applyFont="1" applyFill="1" applyBorder="1">
      <alignment vertical="center"/>
    </xf>
    <xf numFmtId="0" fontId="82" fillId="0" borderId="11" xfId="232" applyFont="1" applyFill="1" applyBorder="1">
      <alignment vertical="center"/>
    </xf>
    <xf numFmtId="0" fontId="82" fillId="0" borderId="10" xfId="232" applyFont="1" applyFill="1" applyBorder="1">
      <alignment vertical="center"/>
    </xf>
    <xf numFmtId="0" fontId="82" fillId="0" borderId="15" xfId="232" applyFont="1" applyFill="1" applyBorder="1">
      <alignment vertical="center"/>
    </xf>
    <xf numFmtId="0" fontId="78" fillId="0" borderId="21" xfId="232" applyFont="1" applyFill="1" applyBorder="1">
      <alignment vertical="center"/>
    </xf>
    <xf numFmtId="0" fontId="78" fillId="0" borderId="20" xfId="232" applyFont="1" applyFill="1" applyBorder="1">
      <alignment vertical="center"/>
    </xf>
    <xf numFmtId="0" fontId="78" fillId="0" borderId="19" xfId="232" applyFont="1" applyFill="1" applyBorder="1">
      <alignment vertical="center"/>
    </xf>
    <xf numFmtId="0" fontId="78" fillId="0" borderId="22" xfId="232" applyFont="1" applyFill="1" applyBorder="1">
      <alignment vertical="center"/>
    </xf>
    <xf numFmtId="0" fontId="78" fillId="0" borderId="11" xfId="0" applyFont="1" applyFill="1" applyBorder="1" applyAlignment="1">
      <alignment vertical="center"/>
    </xf>
    <xf numFmtId="0" fontId="82" fillId="0" borderId="3" xfId="125" applyFont="1" applyFill="1" applyBorder="1">
      <alignment vertical="center"/>
    </xf>
    <xf numFmtId="0" fontId="61" fillId="3" borderId="55" xfId="0" applyFont="1" applyFill="1" applyBorder="1" applyAlignment="1">
      <alignment horizontal="center" vertical="center" wrapText="1"/>
    </xf>
    <xf numFmtId="2" fontId="68" fillId="0" borderId="0" xfId="0" applyNumberFormat="1" applyFont="1" applyAlignment="1">
      <alignment horizontal="center" vertical="center"/>
    </xf>
    <xf numFmtId="0" fontId="78" fillId="3" borderId="3" xfId="125" applyFont="1" applyFill="1" applyBorder="1">
      <alignment vertical="center"/>
    </xf>
    <xf numFmtId="0" fontId="71" fillId="0" borderId="96" xfId="9" applyFont="1" applyBorder="1" applyAlignment="1">
      <alignment horizontal="center" vertical="center" wrapText="1"/>
    </xf>
    <xf numFmtId="0" fontId="71" fillId="0" borderId="4" xfId="9" applyFont="1" applyBorder="1" applyAlignment="1">
      <alignment horizontal="center" vertical="center" wrapText="1"/>
    </xf>
    <xf numFmtId="0" fontId="71" fillId="0" borderId="80" xfId="9" applyFont="1" applyBorder="1" applyAlignment="1">
      <alignment horizontal="center" vertical="center" wrapText="1"/>
    </xf>
    <xf numFmtId="0" fontId="71" fillId="0" borderId="5" xfId="9" applyFont="1" applyBorder="1" applyAlignment="1">
      <alignment horizontal="center" vertical="center" wrapText="1"/>
    </xf>
    <xf numFmtId="0" fontId="71" fillId="0" borderId="76" xfId="9" applyFont="1" applyBorder="1" applyAlignment="1">
      <alignment horizontal="center" vertical="center" wrapText="1"/>
    </xf>
    <xf numFmtId="0" fontId="73" fillId="0" borderId="96" xfId="9" applyFont="1" applyBorder="1" applyAlignment="1">
      <alignment horizontal="center" vertical="center"/>
    </xf>
    <xf numFmtId="0" fontId="73" fillId="0" borderId="4" xfId="9" applyFont="1" applyBorder="1" applyAlignment="1">
      <alignment horizontal="center" vertical="center"/>
    </xf>
    <xf numFmtId="0" fontId="73" fillId="0" borderId="80" xfId="9" applyFont="1" applyBorder="1" applyAlignment="1">
      <alignment horizontal="center" vertical="center"/>
    </xf>
    <xf numFmtId="0" fontId="71" fillId="12" borderId="96" xfId="9" applyFont="1" applyFill="1" applyBorder="1" applyAlignment="1">
      <alignment horizontal="center" vertical="center"/>
    </xf>
    <xf numFmtId="0" fontId="71" fillId="12" borderId="4" xfId="9" applyFont="1" applyFill="1" applyBorder="1" applyAlignment="1">
      <alignment horizontal="center" vertical="center"/>
    </xf>
    <xf numFmtId="0" fontId="71" fillId="12" borderId="80" xfId="9" applyFont="1" applyFill="1" applyBorder="1" applyAlignment="1">
      <alignment horizontal="center" vertical="center"/>
    </xf>
    <xf numFmtId="0" fontId="54" fillId="0" borderId="27" xfId="0" applyFont="1" applyBorder="1" applyAlignment="1">
      <alignment horizontal="center" vertical="center"/>
    </xf>
    <xf numFmtId="0" fontId="54" fillId="0" borderId="28" xfId="0" applyFont="1" applyBorder="1" applyAlignment="1">
      <alignment horizontal="center" vertical="center"/>
    </xf>
    <xf numFmtId="0" fontId="54" fillId="0" borderId="29" xfId="0" applyFont="1" applyBorder="1" applyAlignment="1">
      <alignment horizontal="center" vertical="center"/>
    </xf>
    <xf numFmtId="0" fontId="61" fillId="0" borderId="41" xfId="0" applyFont="1" applyBorder="1" applyAlignment="1">
      <alignment horizontal="center" vertical="center"/>
    </xf>
    <xf numFmtId="0" fontId="61" fillId="0" borderId="42" xfId="0" applyFont="1" applyBorder="1" applyAlignment="1">
      <alignment horizontal="center" vertical="center"/>
    </xf>
    <xf numFmtId="0" fontId="61" fillId="0" borderId="40" xfId="0" applyFont="1" applyBorder="1" applyAlignment="1">
      <alignment horizontal="center" vertical="center"/>
    </xf>
    <xf numFmtId="0" fontId="46" fillId="0" borderId="37" xfId="0" applyFont="1" applyBorder="1" applyAlignment="1">
      <alignment horizontal="left" vertical="center"/>
    </xf>
    <xf numFmtId="0" fontId="46" fillId="0" borderId="0" xfId="0" applyFont="1" applyAlignment="1">
      <alignment horizontal="left" vertical="center"/>
    </xf>
    <xf numFmtId="0" fontId="25" fillId="2" borderId="3" xfId="125" applyFont="1" applyFill="1" applyBorder="1" applyAlignment="1">
      <alignment horizontal="center" vertical="center"/>
    </xf>
    <xf numFmtId="0" fontId="25" fillId="10" borderId="3" xfId="125" applyFont="1" applyFill="1" applyBorder="1" applyAlignment="1">
      <alignment horizontal="center" vertical="center"/>
    </xf>
    <xf numFmtId="0" fontId="25" fillId="10" borderId="6" xfId="125" applyFont="1" applyFill="1" applyBorder="1" applyAlignment="1">
      <alignment horizontal="center" vertical="center"/>
    </xf>
    <xf numFmtId="0" fontId="36" fillId="8" borderId="3" xfId="0" applyFont="1" applyFill="1" applyBorder="1" applyAlignment="1">
      <alignment horizontal="center" vertical="center"/>
    </xf>
    <xf numFmtId="0" fontId="27" fillId="8" borderId="3" xfId="0" applyFont="1" applyFill="1" applyBorder="1" applyAlignment="1">
      <alignment horizontal="center" vertical="center"/>
    </xf>
    <xf numFmtId="0" fontId="25" fillId="0" borderId="3" xfId="125" applyFont="1" applyBorder="1" applyAlignment="1">
      <alignment horizontal="center" vertical="center"/>
    </xf>
    <xf numFmtId="0" fontId="25" fillId="2" borderId="9" xfId="125" applyFont="1" applyFill="1" applyBorder="1" applyAlignment="1">
      <alignment horizontal="center" vertical="center"/>
    </xf>
    <xf numFmtId="0" fontId="25" fillId="2" borderId="23" xfId="125" applyFont="1" applyFill="1" applyBorder="1" applyAlignment="1">
      <alignment horizontal="center" vertical="center"/>
    </xf>
    <xf numFmtId="0" fontId="26" fillId="2" borderId="3" xfId="125" applyFont="1" applyFill="1" applyBorder="1" applyAlignment="1">
      <alignment horizontal="center" vertical="center"/>
    </xf>
    <xf numFmtId="0" fontId="41" fillId="10" borderId="3" xfId="125" applyFont="1" applyFill="1" applyBorder="1" applyAlignment="1">
      <alignment horizontal="center" vertical="center"/>
    </xf>
    <xf numFmtId="0" fontId="25" fillId="2" borderId="6" xfId="125" applyFont="1" applyFill="1" applyBorder="1" applyAlignment="1">
      <alignment horizontal="center" vertical="center"/>
    </xf>
    <xf numFmtId="0" fontId="30" fillId="2" borderId="3" xfId="125" applyFont="1" applyFill="1" applyBorder="1" applyAlignment="1">
      <alignment horizontal="center" vertical="center"/>
    </xf>
    <xf numFmtId="0" fontId="36" fillId="0" borderId="6" xfId="232" applyFont="1" applyBorder="1" applyAlignment="1">
      <alignment horizontal="center" vertical="center"/>
    </xf>
    <xf numFmtId="0" fontId="36" fillId="0" borderId="4" xfId="232" applyFont="1" applyBorder="1" applyAlignment="1">
      <alignment horizontal="center" vertical="center"/>
    </xf>
    <xf numFmtId="0" fontId="36" fillId="0" borderId="5" xfId="232" applyFont="1" applyBorder="1" applyAlignment="1">
      <alignment horizontal="center" vertical="center"/>
    </xf>
    <xf numFmtId="0" fontId="36" fillId="2" borderId="6" xfId="232" applyFont="1" applyFill="1" applyBorder="1" applyAlignment="1">
      <alignment horizontal="center" vertical="center"/>
    </xf>
    <xf numFmtId="0" fontId="36" fillId="2" borderId="5" xfId="232" applyFont="1" applyFill="1" applyBorder="1" applyAlignment="1">
      <alignment horizontal="center" vertical="center"/>
    </xf>
    <xf numFmtId="0" fontId="26" fillId="10" borderId="3" xfId="125" applyFont="1" applyFill="1" applyBorder="1" applyAlignment="1">
      <alignment horizontal="center" vertical="center"/>
    </xf>
    <xf numFmtId="0" fontId="27" fillId="0" borderId="6" xfId="232" applyFont="1" applyBorder="1" applyAlignment="1">
      <alignment horizontal="center" vertical="center"/>
    </xf>
    <xf numFmtId="0" fontId="27" fillId="0" borderId="4" xfId="232" applyFont="1" applyBorder="1" applyAlignment="1">
      <alignment horizontal="center" vertical="center"/>
    </xf>
    <xf numFmtId="0" fontId="27" fillId="0" borderId="5" xfId="232" applyFont="1" applyBorder="1" applyAlignment="1">
      <alignment horizontal="center" vertical="center"/>
    </xf>
    <xf numFmtId="0" fontId="27" fillId="2" borderId="6" xfId="232" applyFont="1" applyFill="1" applyBorder="1" applyAlignment="1">
      <alignment horizontal="center" vertical="center"/>
    </xf>
    <xf numFmtId="0" fontId="27" fillId="2" borderId="5" xfId="232" applyFont="1" applyFill="1" applyBorder="1" applyAlignment="1">
      <alignment horizontal="center" vertical="center"/>
    </xf>
    <xf numFmtId="0" fontId="26" fillId="2" borderId="9" xfId="125" applyFont="1" applyFill="1" applyBorder="1" applyAlignment="1">
      <alignment horizontal="center" vertical="center"/>
    </xf>
    <xf numFmtId="0" fontId="26" fillId="2" borderId="23" xfId="125" applyFont="1" applyFill="1" applyBorder="1" applyAlignment="1">
      <alignment horizontal="center" vertical="center"/>
    </xf>
    <xf numFmtId="0" fontId="30" fillId="10" borderId="3" xfId="125" applyFont="1" applyFill="1" applyBorder="1" applyAlignment="1">
      <alignment horizontal="center" vertical="center"/>
    </xf>
    <xf numFmtId="0" fontId="51" fillId="0" borderId="6" xfId="232" applyFont="1" applyBorder="1" applyAlignment="1">
      <alignment horizontal="center" vertical="center"/>
    </xf>
    <xf numFmtId="0" fontId="51" fillId="0" borderId="4" xfId="232" applyFont="1" applyBorder="1" applyAlignment="1">
      <alignment horizontal="center" vertical="center"/>
    </xf>
    <xf numFmtId="0" fontId="51" fillId="0" borderId="5" xfId="232" applyFont="1" applyBorder="1" applyAlignment="1">
      <alignment horizontal="center" vertical="center"/>
    </xf>
    <xf numFmtId="0" fontId="27" fillId="2" borderId="4" xfId="232" applyFont="1" applyFill="1" applyBorder="1" applyAlignment="1">
      <alignment horizontal="center" vertical="center"/>
    </xf>
    <xf numFmtId="0" fontId="27" fillId="0" borderId="6" xfId="232" applyFont="1" applyBorder="1" applyAlignment="1">
      <alignment horizontal="left" vertical="top"/>
    </xf>
    <xf numFmtId="0" fontId="27" fillId="0" borderId="4" xfId="232" applyFont="1" applyBorder="1" applyAlignment="1">
      <alignment horizontal="left" vertical="top"/>
    </xf>
    <xf numFmtId="0" fontId="27" fillId="0" borderId="5" xfId="232" applyFont="1" applyBorder="1" applyAlignment="1">
      <alignment horizontal="left" vertical="top"/>
    </xf>
    <xf numFmtId="0" fontId="2" fillId="5" borderId="3" xfId="125" applyFill="1" applyBorder="1" applyAlignment="1">
      <alignment horizontal="center" vertical="center"/>
    </xf>
    <xf numFmtId="0" fontId="2" fillId="2" borderId="9" xfId="125" applyFill="1" applyBorder="1" applyAlignment="1">
      <alignment horizontal="center" vertical="center"/>
    </xf>
    <xf numFmtId="0" fontId="38" fillId="0" borderId="6" xfId="232" applyBorder="1">
      <alignment vertical="center"/>
    </xf>
    <xf numFmtId="0" fontId="38" fillId="0" borderId="5" xfId="232" applyBorder="1">
      <alignment vertical="center"/>
    </xf>
    <xf numFmtId="0" fontId="38" fillId="0" borderId="4" xfId="232" applyBorder="1">
      <alignment vertical="center"/>
    </xf>
    <xf numFmtId="0" fontId="2" fillId="0" borderId="6" xfId="125" applyBorder="1">
      <alignment vertical="center"/>
    </xf>
    <xf numFmtId="0" fontId="2" fillId="0" borderId="5" xfId="125" applyBorder="1">
      <alignment vertical="center"/>
    </xf>
    <xf numFmtId="0" fontId="2" fillId="0" borderId="4" xfId="125" applyBorder="1">
      <alignment vertical="center"/>
    </xf>
    <xf numFmtId="0" fontId="86" fillId="16" borderId="6" xfId="125" applyFont="1" applyFill="1" applyBorder="1">
      <alignment vertical="center"/>
    </xf>
    <xf numFmtId="0" fontId="86" fillId="16" borderId="5" xfId="125" applyFont="1" applyFill="1" applyBorder="1">
      <alignment vertical="center"/>
    </xf>
    <xf numFmtId="0" fontId="82" fillId="0" borderId="6" xfId="125" applyFont="1" applyFill="1" applyBorder="1">
      <alignment vertical="center"/>
    </xf>
    <xf numFmtId="0" fontId="82" fillId="0" borderId="5" xfId="125" applyFont="1" applyFill="1" applyBorder="1">
      <alignment vertical="center"/>
    </xf>
    <xf numFmtId="0" fontId="82" fillId="0" borderId="4" xfId="125" applyFont="1" applyFill="1" applyBorder="1">
      <alignment vertical="center"/>
    </xf>
    <xf numFmtId="0" fontId="54" fillId="0" borderId="31" xfId="0" applyFont="1" applyBorder="1" applyAlignment="1">
      <alignment horizontal="center" vertical="center"/>
    </xf>
    <xf numFmtId="0" fontId="69" fillId="0" borderId="0" xfId="0" applyFont="1" applyAlignment="1">
      <alignment horizontal="center" vertical="center"/>
    </xf>
    <xf numFmtId="0" fontId="42" fillId="0" borderId="0" xfId="0" applyFont="1" applyAlignment="1">
      <alignment horizontal="center"/>
    </xf>
    <xf numFmtId="0" fontId="47" fillId="0" borderId="0" xfId="0" applyFont="1" applyAlignment="1">
      <alignment horizontal="center"/>
    </xf>
    <xf numFmtId="0" fontId="36" fillId="0" borderId="0" xfId="0" applyFont="1" applyBorder="1"/>
    <xf numFmtId="0" fontId="70" fillId="0" borderId="0" xfId="1" applyFont="1" applyBorder="1" applyAlignment="1">
      <alignment horizontal="center" vertical="center"/>
    </xf>
    <xf numFmtId="0" fontId="36" fillId="0" borderId="0" xfId="0" applyFont="1" applyBorder="1" applyAlignment="1">
      <alignment horizontal="center"/>
    </xf>
    <xf numFmtId="0" fontId="67" fillId="0" borderId="3" xfId="0" applyFont="1" applyBorder="1" applyAlignment="1">
      <alignment horizontal="center" vertical="center"/>
    </xf>
    <xf numFmtId="0" fontId="69" fillId="0" borderId="3" xfId="0" applyFont="1" applyBorder="1" applyAlignment="1">
      <alignment horizontal="center" vertical="center"/>
    </xf>
    <xf numFmtId="0" fontId="42" fillId="0" borderId="3" xfId="0" applyFont="1" applyBorder="1" applyAlignment="1">
      <alignment horizontal="center"/>
    </xf>
    <xf numFmtId="0" fontId="45" fillId="0" borderId="3" xfId="0" applyFont="1" applyBorder="1" applyAlignment="1">
      <alignment horizontal="center"/>
    </xf>
    <xf numFmtId="0" fontId="47" fillId="0" borderId="3" xfId="0" applyFont="1" applyBorder="1" applyAlignment="1">
      <alignment horizontal="center"/>
    </xf>
    <xf numFmtId="0" fontId="25" fillId="0" borderId="46" xfId="125" applyFont="1" applyBorder="1" applyAlignment="1">
      <alignment horizontal="center" vertical="center"/>
    </xf>
    <xf numFmtId="0" fontId="66" fillId="0" borderId="0" xfId="0" applyFont="1" applyFill="1" applyAlignment="1">
      <alignment horizontal="center" vertical="center" wrapText="1"/>
    </xf>
    <xf numFmtId="0" fontId="77" fillId="0" borderId="90" xfId="9" applyFont="1" applyBorder="1" applyAlignment="1">
      <alignment horizontal="center" vertical="center"/>
    </xf>
    <xf numFmtId="0" fontId="77" fillId="0" borderId="83" xfId="9" applyFont="1" applyBorder="1" applyAlignment="1">
      <alignment horizontal="center" vertical="center"/>
    </xf>
    <xf numFmtId="0" fontId="77" fillId="0" borderId="85" xfId="9" applyFont="1" applyBorder="1" applyAlignment="1">
      <alignment horizontal="center" vertical="center"/>
    </xf>
    <xf numFmtId="0" fontId="66" fillId="0" borderId="93" xfId="0" applyFont="1" applyBorder="1" applyAlignment="1">
      <alignment horizontal="center" vertical="center" wrapText="1"/>
    </xf>
    <xf numFmtId="0" fontId="66" fillId="0" borderId="98" xfId="0" applyFont="1" applyBorder="1" applyAlignment="1">
      <alignment horizontal="center" vertical="center" wrapText="1"/>
    </xf>
    <xf numFmtId="0" fontId="77" fillId="0" borderId="70" xfId="9" applyFont="1" applyBorder="1" applyAlignment="1">
      <alignment horizontal="center" vertical="center"/>
    </xf>
    <xf numFmtId="0" fontId="66" fillId="0" borderId="0" xfId="0" applyFont="1" applyBorder="1" applyAlignment="1">
      <alignment horizontal="center" vertical="center" wrapText="1"/>
    </xf>
    <xf numFmtId="0" fontId="77" fillId="0" borderId="101" xfId="9" applyFont="1" applyBorder="1" applyAlignment="1">
      <alignment horizontal="center" vertical="center"/>
    </xf>
    <xf numFmtId="0" fontId="71" fillId="3" borderId="79" xfId="9" applyFont="1" applyFill="1" applyBorder="1" applyAlignment="1">
      <alignment horizontal="center" vertical="center" wrapText="1"/>
    </xf>
    <xf numFmtId="0" fontId="77" fillId="0" borderId="98" xfId="9" applyFont="1" applyBorder="1" applyAlignment="1">
      <alignment horizontal="center" vertical="center"/>
    </xf>
    <xf numFmtId="0" fontId="77" fillId="0" borderId="55" xfId="9" applyFont="1" applyBorder="1" applyAlignment="1">
      <alignment horizontal="center" vertical="center"/>
    </xf>
    <xf numFmtId="0" fontId="71" fillId="3" borderId="101" xfId="9" applyFont="1" applyFill="1" applyBorder="1" applyAlignment="1">
      <alignment horizontal="center" vertical="center" wrapText="1"/>
    </xf>
    <xf numFmtId="0" fontId="77" fillId="0" borderId="76" xfId="9" applyFont="1" applyBorder="1" applyAlignment="1">
      <alignment horizontal="center" vertical="center"/>
    </xf>
    <xf numFmtId="0" fontId="77" fillId="0" borderId="5" xfId="9" applyFont="1" applyBorder="1" applyAlignment="1">
      <alignment vertical="center"/>
    </xf>
    <xf numFmtId="0" fontId="77" fillId="0" borderId="76" xfId="9" applyFont="1" applyBorder="1" applyAlignment="1">
      <alignment vertical="center"/>
    </xf>
  </cellXfs>
  <cellStyles count="233">
    <cellStyle name="パーセント" xfId="231" builtinId="5"/>
    <cellStyle name="パーセント 2" xfId="5"/>
    <cellStyle name="パーセント 2 2" xfId="10"/>
    <cellStyle name="パーセント 2 2 2" xfId="11"/>
    <cellStyle name="パーセント 2 2 2 2" xfId="131"/>
    <cellStyle name="パーセント 2 3" xfId="128"/>
    <cellStyle name="パーセント 3" xfId="126"/>
    <cellStyle name="ハイパーリンク" xfId="14" builtinId="8" hidden="1"/>
    <cellStyle name="ハイパーリンク" xfId="16" builtinId="8" hidden="1"/>
    <cellStyle name="ハイパーリンク" xfId="18" builtinId="8" hidden="1"/>
    <cellStyle name="ハイパーリンク" xfId="20" builtinId="8" hidden="1"/>
    <cellStyle name="ハイパーリンク" xfId="22" builtinId="8" hidden="1"/>
    <cellStyle name="ハイパーリンク" xfId="24" builtinId="8" hidden="1"/>
    <cellStyle name="ハイパーリンク" xfId="26" builtinId="8" hidden="1"/>
    <cellStyle name="桁区切り" xfId="230" builtinId="6"/>
    <cellStyle name="桁区切り 2" xfId="6"/>
    <cellStyle name="桁区切り 3" xfId="12"/>
    <cellStyle name="桁区切り 3 2" xfId="132"/>
    <cellStyle name="標準" xfId="0" builtinId="0"/>
    <cellStyle name="標準 2" xfId="1"/>
    <cellStyle name="標準 3" xfId="2"/>
    <cellStyle name="標準 3 10" xfId="127"/>
    <cellStyle name="標準 3 2" xfId="8"/>
    <cellStyle name="標準 3 2 2" xfId="30"/>
    <cellStyle name="標準 3 2 2 2" xfId="38"/>
    <cellStyle name="標準 3 2 2 2 2" xfId="63"/>
    <cellStyle name="標準 3 2 2 2 2 2" xfId="169"/>
    <cellStyle name="標準 3 2 2 2 3" xfId="88"/>
    <cellStyle name="標準 3 2 2 2 3 2" xfId="194"/>
    <cellStyle name="標準 3 2 2 2 4" xfId="113"/>
    <cellStyle name="標準 3 2 2 2 4 2" xfId="219"/>
    <cellStyle name="標準 3 2 2 2 5" xfId="144"/>
    <cellStyle name="標準 3 2 2 3" xfId="46"/>
    <cellStyle name="標準 3 2 2 3 2" xfId="71"/>
    <cellStyle name="標準 3 2 2 3 2 2" xfId="177"/>
    <cellStyle name="標準 3 2 2 3 3" xfId="96"/>
    <cellStyle name="標準 3 2 2 3 3 2" xfId="202"/>
    <cellStyle name="標準 3 2 2 3 4" xfId="121"/>
    <cellStyle name="標準 3 2 2 3 4 2" xfId="227"/>
    <cellStyle name="標準 3 2 2 3 5" xfId="152"/>
    <cellStyle name="標準 3 2 2 4" xfId="55"/>
    <cellStyle name="標準 3 2 2 4 2" xfId="161"/>
    <cellStyle name="標準 3 2 2 5" xfId="80"/>
    <cellStyle name="標準 3 2 2 5 2" xfId="186"/>
    <cellStyle name="標準 3 2 2 6" xfId="105"/>
    <cellStyle name="標準 3 2 2 6 2" xfId="211"/>
    <cellStyle name="標準 3 2 2 7" xfId="136"/>
    <cellStyle name="標準 3 2 3" xfId="34"/>
    <cellStyle name="標準 3 2 3 2" xfId="59"/>
    <cellStyle name="標準 3 2 3 2 2" xfId="165"/>
    <cellStyle name="標準 3 2 3 3" xfId="84"/>
    <cellStyle name="標準 3 2 3 3 2" xfId="190"/>
    <cellStyle name="標準 3 2 3 4" xfId="109"/>
    <cellStyle name="標準 3 2 3 4 2" xfId="215"/>
    <cellStyle name="標準 3 2 3 5" xfId="140"/>
    <cellStyle name="標準 3 2 4" xfId="42"/>
    <cellStyle name="標準 3 2 4 2" xfId="67"/>
    <cellStyle name="標準 3 2 4 2 2" xfId="173"/>
    <cellStyle name="標準 3 2 4 3" xfId="92"/>
    <cellStyle name="標準 3 2 4 3 2" xfId="198"/>
    <cellStyle name="標準 3 2 4 4" xfId="117"/>
    <cellStyle name="標準 3 2 4 4 2" xfId="223"/>
    <cellStyle name="標準 3 2 4 5" xfId="148"/>
    <cellStyle name="標準 3 2 5" xfId="51"/>
    <cellStyle name="標準 3 2 5 2" xfId="157"/>
    <cellStyle name="標準 3 2 6" xfId="76"/>
    <cellStyle name="標準 3 2 6 2" xfId="182"/>
    <cellStyle name="標準 3 2 7" xfId="101"/>
    <cellStyle name="標準 3 2 7 2" xfId="207"/>
    <cellStyle name="標準 3 2 8" xfId="130"/>
    <cellStyle name="標準 3 3" xfId="28"/>
    <cellStyle name="標準 3 3 2" xfId="36"/>
    <cellStyle name="標準 3 3 2 2" xfId="61"/>
    <cellStyle name="標準 3 3 2 2 2" xfId="167"/>
    <cellStyle name="標準 3 3 2 3" xfId="86"/>
    <cellStyle name="標準 3 3 2 3 2" xfId="192"/>
    <cellStyle name="標準 3 3 2 4" xfId="111"/>
    <cellStyle name="標準 3 3 2 4 2" xfId="217"/>
    <cellStyle name="標準 3 3 2 5" xfId="142"/>
    <cellStyle name="標準 3 3 3" xfId="44"/>
    <cellStyle name="標準 3 3 3 2" xfId="69"/>
    <cellStyle name="標準 3 3 3 2 2" xfId="175"/>
    <cellStyle name="標準 3 3 3 3" xfId="94"/>
    <cellStyle name="標準 3 3 3 3 2" xfId="200"/>
    <cellStyle name="標準 3 3 3 4" xfId="119"/>
    <cellStyle name="標準 3 3 3 4 2" xfId="225"/>
    <cellStyle name="標準 3 3 3 5" xfId="150"/>
    <cellStyle name="標準 3 3 4" xfId="53"/>
    <cellStyle name="標準 3 3 4 2" xfId="159"/>
    <cellStyle name="標準 3 3 5" xfId="78"/>
    <cellStyle name="標準 3 3 5 2" xfId="184"/>
    <cellStyle name="標準 3 3 6" xfId="103"/>
    <cellStyle name="標準 3 3 6 2" xfId="209"/>
    <cellStyle name="標準 3 3 7" xfId="134"/>
    <cellStyle name="標準 3 4" xfId="32"/>
    <cellStyle name="標準 3 4 2" xfId="57"/>
    <cellStyle name="標準 3 4 2 2" xfId="163"/>
    <cellStyle name="標準 3 4 3" xfId="82"/>
    <cellStyle name="標準 3 4 3 2" xfId="188"/>
    <cellStyle name="標準 3 4 4" xfId="107"/>
    <cellStyle name="標準 3 4 4 2" xfId="213"/>
    <cellStyle name="標準 3 4 5" xfId="138"/>
    <cellStyle name="標準 3 5" xfId="40"/>
    <cellStyle name="標準 3 5 2" xfId="65"/>
    <cellStyle name="標準 3 5 2 2" xfId="171"/>
    <cellStyle name="標準 3 5 3" xfId="90"/>
    <cellStyle name="標準 3 5 3 2" xfId="196"/>
    <cellStyle name="標準 3 5 4" xfId="115"/>
    <cellStyle name="標準 3 5 4 2" xfId="221"/>
    <cellStyle name="標準 3 5 5" xfId="146"/>
    <cellStyle name="標準 3 6" xfId="48"/>
    <cellStyle name="標準 3 6 2" xfId="73"/>
    <cellStyle name="標準 3 6 2 2" xfId="179"/>
    <cellStyle name="標準 3 6 3" xfId="98"/>
    <cellStyle name="標準 3 6 3 2" xfId="204"/>
    <cellStyle name="標準 3 6 4" xfId="123"/>
    <cellStyle name="標準 3 6 4 2" xfId="229"/>
    <cellStyle name="標準 3 6 5" xfId="154"/>
    <cellStyle name="標準 3 7" xfId="49"/>
    <cellStyle name="標準 3 7 2" xfId="155"/>
    <cellStyle name="標準 3 8" xfId="74"/>
    <cellStyle name="標準 3 8 2" xfId="180"/>
    <cellStyle name="標準 3 9" xfId="99"/>
    <cellStyle name="標準 3 9 2" xfId="205"/>
    <cellStyle name="標準 4" xfId="3"/>
    <cellStyle name="標準 4 2" xfId="4"/>
    <cellStyle name="標準 4 2 2" xfId="124"/>
    <cellStyle name="標準 4 2 2 2" xfId="125"/>
    <cellStyle name="標準 5" xfId="7"/>
    <cellStyle name="標準 5 2" xfId="29"/>
    <cellStyle name="標準 5 2 2" xfId="37"/>
    <cellStyle name="標準 5 2 2 2" xfId="62"/>
    <cellStyle name="標準 5 2 2 2 2" xfId="168"/>
    <cellStyle name="標準 5 2 2 3" xfId="87"/>
    <cellStyle name="標準 5 2 2 3 2" xfId="193"/>
    <cellStyle name="標準 5 2 2 4" xfId="112"/>
    <cellStyle name="標準 5 2 2 4 2" xfId="218"/>
    <cellStyle name="標準 5 2 2 5" xfId="143"/>
    <cellStyle name="標準 5 2 3" xfId="45"/>
    <cellStyle name="標準 5 2 3 2" xfId="70"/>
    <cellStyle name="標準 5 2 3 2 2" xfId="176"/>
    <cellStyle name="標準 5 2 3 3" xfId="95"/>
    <cellStyle name="標準 5 2 3 3 2" xfId="201"/>
    <cellStyle name="標準 5 2 3 4" xfId="120"/>
    <cellStyle name="標準 5 2 3 4 2" xfId="226"/>
    <cellStyle name="標準 5 2 3 5" xfId="151"/>
    <cellStyle name="標準 5 2 4" xfId="54"/>
    <cellStyle name="標準 5 2 4 2" xfId="160"/>
    <cellStyle name="標準 5 2 5" xfId="79"/>
    <cellStyle name="標準 5 2 5 2" xfId="185"/>
    <cellStyle name="標準 5 2 6" xfId="104"/>
    <cellStyle name="標準 5 2 6 2" xfId="210"/>
    <cellStyle name="標準 5 2 7" xfId="135"/>
    <cellStyle name="標準 5 3" xfId="33"/>
    <cellStyle name="標準 5 3 2" xfId="58"/>
    <cellStyle name="標準 5 3 2 2" xfId="164"/>
    <cellStyle name="標準 5 3 3" xfId="83"/>
    <cellStyle name="標準 5 3 3 2" xfId="189"/>
    <cellStyle name="標準 5 3 4" xfId="108"/>
    <cellStyle name="標準 5 3 4 2" xfId="214"/>
    <cellStyle name="標準 5 3 5" xfId="139"/>
    <cellStyle name="標準 5 4" xfId="41"/>
    <cellStyle name="標準 5 4 2" xfId="66"/>
    <cellStyle name="標準 5 4 2 2" xfId="172"/>
    <cellStyle name="標準 5 4 3" xfId="91"/>
    <cellStyle name="標準 5 4 3 2" xfId="197"/>
    <cellStyle name="標準 5 4 4" xfId="116"/>
    <cellStyle name="標準 5 4 4 2" xfId="222"/>
    <cellStyle name="標準 5 4 5" xfId="147"/>
    <cellStyle name="標準 5 5" xfId="50"/>
    <cellStyle name="標準 5 5 2" xfId="156"/>
    <cellStyle name="標準 5 6" xfId="75"/>
    <cellStyle name="標準 5 6 2" xfId="181"/>
    <cellStyle name="標準 5 7" xfId="100"/>
    <cellStyle name="標準 5 7 2" xfId="206"/>
    <cellStyle name="標準 5 8" xfId="129"/>
    <cellStyle name="標準 6" xfId="9"/>
    <cellStyle name="標準 7" xfId="13"/>
    <cellStyle name="標準 7 2" xfId="31"/>
    <cellStyle name="標準 7 2 2" xfId="39"/>
    <cellStyle name="標準 7 2 2 2" xfId="64"/>
    <cellStyle name="標準 7 2 2 2 2" xfId="170"/>
    <cellStyle name="標準 7 2 2 3" xfId="89"/>
    <cellStyle name="標準 7 2 2 3 2" xfId="195"/>
    <cellStyle name="標準 7 2 2 4" xfId="114"/>
    <cellStyle name="標準 7 2 2 4 2" xfId="220"/>
    <cellStyle name="標準 7 2 2 5" xfId="145"/>
    <cellStyle name="標準 7 2 3" xfId="47"/>
    <cellStyle name="標準 7 2 3 2" xfId="72"/>
    <cellStyle name="標準 7 2 3 2 2" xfId="178"/>
    <cellStyle name="標準 7 2 3 3" xfId="97"/>
    <cellStyle name="標準 7 2 3 3 2" xfId="203"/>
    <cellStyle name="標準 7 2 3 4" xfId="122"/>
    <cellStyle name="標準 7 2 3 4 2" xfId="228"/>
    <cellStyle name="標準 7 2 3 5" xfId="153"/>
    <cellStyle name="標準 7 2 4" xfId="56"/>
    <cellStyle name="標準 7 2 4 2" xfId="162"/>
    <cellStyle name="標準 7 2 5" xfId="81"/>
    <cellStyle name="標準 7 2 5 2" xfId="187"/>
    <cellStyle name="標準 7 2 6" xfId="106"/>
    <cellStyle name="標準 7 2 6 2" xfId="212"/>
    <cellStyle name="標準 7 2 7" xfId="137"/>
    <cellStyle name="標準 7 3" xfId="35"/>
    <cellStyle name="標準 7 3 2" xfId="60"/>
    <cellStyle name="標準 7 3 2 2" xfId="166"/>
    <cellStyle name="標準 7 3 3" xfId="85"/>
    <cellStyle name="標準 7 3 3 2" xfId="191"/>
    <cellStyle name="標準 7 3 4" xfId="110"/>
    <cellStyle name="標準 7 3 4 2" xfId="216"/>
    <cellStyle name="標準 7 3 5" xfId="141"/>
    <cellStyle name="標準 7 4" xfId="43"/>
    <cellStyle name="標準 7 4 2" xfId="68"/>
    <cellStyle name="標準 7 4 2 2" xfId="174"/>
    <cellStyle name="標準 7 4 3" xfId="93"/>
    <cellStyle name="標準 7 4 3 2" xfId="199"/>
    <cellStyle name="標準 7 4 4" xfId="118"/>
    <cellStyle name="標準 7 4 4 2" xfId="224"/>
    <cellStyle name="標準 7 4 5" xfId="149"/>
    <cellStyle name="標準 7 5" xfId="52"/>
    <cellStyle name="標準 7 5 2" xfId="158"/>
    <cellStyle name="標準 7 6" xfId="77"/>
    <cellStyle name="標準 7 6 2" xfId="183"/>
    <cellStyle name="標準 7 7" xfId="102"/>
    <cellStyle name="標準 7 7 2" xfId="208"/>
    <cellStyle name="標準 7 8" xfId="133"/>
    <cellStyle name="標準 8" xfId="232"/>
    <cellStyle name="表示済みのハイパーリンク" xfId="15" builtinId="9" hidden="1"/>
    <cellStyle name="表示済みのハイパーリンク" xfId="17" builtinId="9" hidden="1"/>
    <cellStyle name="表示済みのハイパーリンク" xfId="19" builtinId="9" hidden="1"/>
    <cellStyle name="表示済みのハイパーリンク" xfId="21" builtinId="9" hidden="1"/>
    <cellStyle name="表示済みのハイパーリンク" xfId="23" builtinId="9" hidden="1"/>
    <cellStyle name="表示済みのハイパーリンク" xfId="25" builtinId="9" hidden="1"/>
    <cellStyle name="表示済みのハイパーリンク" xfId="27" builtinId="9"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K119"/>
  <sheetViews>
    <sheetView tabSelected="1" zoomScale="90" zoomScaleNormal="90" workbookViewId="0">
      <selection activeCell="J51" sqref="J51"/>
    </sheetView>
  </sheetViews>
  <sheetFormatPr defaultColWidth="8.875" defaultRowHeight="13.5" x14ac:dyDescent="0.15"/>
  <cols>
    <col min="1" max="25" width="9.875" customWidth="1"/>
    <col min="26" max="26" width="9.5" customWidth="1"/>
    <col min="27" max="27" width="12.375" bestFit="1" customWidth="1"/>
    <col min="28" max="28" width="12.625" bestFit="1" customWidth="1"/>
    <col min="29" max="29" width="9.875" customWidth="1"/>
  </cols>
  <sheetData>
    <row r="1" spans="1:37" ht="30" customHeight="1" thickBot="1" x14ac:dyDescent="0.2">
      <c r="A1" s="298"/>
      <c r="B1" s="434" t="s">
        <v>193</v>
      </c>
      <c r="C1" s="435"/>
      <c r="D1" s="435"/>
      <c r="E1" s="435"/>
      <c r="F1" s="435"/>
      <c r="G1" s="435"/>
      <c r="H1" s="488" t="s">
        <v>194</v>
      </c>
      <c r="I1" s="434" t="s">
        <v>195</v>
      </c>
      <c r="J1" s="435"/>
      <c r="K1" s="435"/>
      <c r="L1" s="436"/>
      <c r="M1" s="434" t="s">
        <v>196</v>
      </c>
      <c r="N1" s="435"/>
      <c r="O1" s="435"/>
      <c r="P1" s="435"/>
      <c r="Q1" s="435"/>
      <c r="R1" s="435"/>
      <c r="S1" s="435"/>
      <c r="T1" s="435"/>
      <c r="U1" s="436"/>
      <c r="V1" s="434" t="s">
        <v>197</v>
      </c>
      <c r="W1" s="435"/>
      <c r="X1" s="435"/>
      <c r="Y1" s="435"/>
      <c r="Z1" s="436"/>
      <c r="AA1" s="120" t="s">
        <v>198</v>
      </c>
      <c r="AB1" s="119"/>
      <c r="AC1" s="121"/>
      <c r="AD1" s="121"/>
      <c r="AE1" s="121"/>
      <c r="AF1" s="121"/>
    </row>
    <row r="2" spans="1:37" ht="30" customHeight="1" thickTop="1" x14ac:dyDescent="0.45">
      <c r="A2" s="299"/>
      <c r="B2" s="391" t="s">
        <v>340</v>
      </c>
      <c r="C2" s="301" t="s">
        <v>341</v>
      </c>
      <c r="D2" s="392" t="s">
        <v>342</v>
      </c>
      <c r="E2" s="392" t="s">
        <v>343</v>
      </c>
      <c r="F2" s="302" t="s">
        <v>344</v>
      </c>
      <c r="G2" s="302" t="s">
        <v>232</v>
      </c>
      <c r="H2" s="357" t="s">
        <v>345</v>
      </c>
      <c r="I2" s="303" t="s">
        <v>346</v>
      </c>
      <c r="J2" s="304" t="s">
        <v>385</v>
      </c>
      <c r="K2" s="304" t="s">
        <v>347</v>
      </c>
      <c r="L2" s="305" t="s">
        <v>349</v>
      </c>
      <c r="M2" s="393" t="s">
        <v>350</v>
      </c>
      <c r="N2" s="306" t="s">
        <v>369</v>
      </c>
      <c r="O2" s="306" t="s">
        <v>351</v>
      </c>
      <c r="P2" s="306" t="s">
        <v>352</v>
      </c>
      <c r="Q2" s="306" t="s">
        <v>353</v>
      </c>
      <c r="R2" s="306" t="s">
        <v>354</v>
      </c>
      <c r="S2" s="306" t="s">
        <v>355</v>
      </c>
      <c r="T2" s="306" t="s">
        <v>230</v>
      </c>
      <c r="U2" s="307" t="s">
        <v>356</v>
      </c>
      <c r="V2" s="391" t="s">
        <v>357</v>
      </c>
      <c r="W2" s="392" t="s">
        <v>358</v>
      </c>
      <c r="X2" s="392" t="s">
        <v>343</v>
      </c>
      <c r="Y2" s="394" t="s">
        <v>359</v>
      </c>
      <c r="Z2" s="304" t="s">
        <v>360</v>
      </c>
      <c r="AA2" s="395" t="s">
        <v>361</v>
      </c>
      <c r="AB2" s="122"/>
      <c r="AC2" s="123"/>
      <c r="AD2" s="124"/>
      <c r="AE2" s="123"/>
      <c r="AF2" s="123"/>
    </row>
    <row r="3" spans="1:37" ht="30" customHeight="1" x14ac:dyDescent="0.55000000000000004">
      <c r="A3" s="308" t="s">
        <v>286</v>
      </c>
      <c r="B3" s="309">
        <f>営業!D36</f>
        <v>58</v>
      </c>
      <c r="C3" s="310">
        <f>営業!F36</f>
        <v>51</v>
      </c>
      <c r="D3" s="310">
        <f>営業!H36</f>
        <v>57</v>
      </c>
      <c r="E3" s="310">
        <f>営業!E36</f>
        <v>57</v>
      </c>
      <c r="F3" s="311">
        <f>営業!G36</f>
        <v>57</v>
      </c>
      <c r="G3" s="311">
        <f>営業!I36</f>
        <v>55</v>
      </c>
      <c r="H3" s="312">
        <f>進行管理!D29</f>
        <v>59</v>
      </c>
      <c r="I3" s="313">
        <f>事業推進!D29</f>
        <v>0</v>
      </c>
      <c r="J3" s="314">
        <f>事業推進!E29</f>
        <v>63</v>
      </c>
      <c r="K3" s="314">
        <f>事業推進!F29</f>
        <v>63</v>
      </c>
      <c r="L3" s="316">
        <f>事業推進!G29</f>
        <v>58</v>
      </c>
      <c r="M3" s="315">
        <f>'制作（デ）'!D38</f>
        <v>57</v>
      </c>
      <c r="N3" s="310">
        <f>'制作（デ）'!E38</f>
        <v>57</v>
      </c>
      <c r="O3" s="310">
        <f>'制作（デ）'!F38</f>
        <v>49</v>
      </c>
      <c r="P3" s="310">
        <f>'制作（デ）'!G38</f>
        <v>58</v>
      </c>
      <c r="Q3" s="310">
        <f>'制作（デ）'!H38</f>
        <v>60</v>
      </c>
      <c r="R3" s="310">
        <f>'制作（デ）'!I38</f>
        <v>55</v>
      </c>
      <c r="S3" s="310">
        <f>'制作（デ）'!J38</f>
        <v>58</v>
      </c>
      <c r="T3" s="310">
        <f>'制作（三）'!D30</f>
        <v>58</v>
      </c>
      <c r="U3" s="316">
        <f>'制作（外）'!D30</f>
        <v>49</v>
      </c>
      <c r="V3" s="313">
        <f>'製造部 (MGR)'!D36</f>
        <v>60</v>
      </c>
      <c r="W3" s="310">
        <f>製造部!E39</f>
        <v>52</v>
      </c>
      <c r="X3" s="310">
        <f>製造部!D39</f>
        <v>51</v>
      </c>
      <c r="Y3" s="311">
        <f>製造部!F39</f>
        <v>51</v>
      </c>
      <c r="Z3" s="311">
        <f>製造部!G39</f>
        <v>59</v>
      </c>
      <c r="AA3" s="317"/>
      <c r="AB3" s="123"/>
      <c r="AC3" s="123"/>
      <c r="AE3" s="125"/>
      <c r="AF3" s="125"/>
    </row>
    <row r="4" spans="1:37" ht="30" customHeight="1" x14ac:dyDescent="0.45">
      <c r="A4" s="300" t="s">
        <v>275</v>
      </c>
      <c r="B4" s="349">
        <v>56</v>
      </c>
      <c r="C4" s="350">
        <v>52</v>
      </c>
      <c r="D4" s="350">
        <v>58</v>
      </c>
      <c r="E4" s="350">
        <v>56</v>
      </c>
      <c r="F4" s="351">
        <v>55</v>
      </c>
      <c r="G4" s="351">
        <v>22</v>
      </c>
      <c r="H4" s="352">
        <v>63</v>
      </c>
      <c r="I4" s="349">
        <v>65</v>
      </c>
      <c r="J4" s="350">
        <v>66</v>
      </c>
      <c r="K4" s="350">
        <v>62</v>
      </c>
      <c r="L4" s="353">
        <v>57</v>
      </c>
      <c r="M4" s="354">
        <v>59</v>
      </c>
      <c r="N4" s="350">
        <v>58</v>
      </c>
      <c r="O4" s="350">
        <v>51</v>
      </c>
      <c r="P4" s="350">
        <v>63</v>
      </c>
      <c r="Q4" s="350">
        <v>63</v>
      </c>
      <c r="R4" s="350">
        <v>62</v>
      </c>
      <c r="S4" s="350">
        <v>64</v>
      </c>
      <c r="T4" s="350">
        <v>60</v>
      </c>
      <c r="U4" s="353">
        <v>49</v>
      </c>
      <c r="V4" s="349"/>
      <c r="W4" s="350">
        <v>55</v>
      </c>
      <c r="X4" s="350">
        <v>56</v>
      </c>
      <c r="Y4" s="350">
        <v>56</v>
      </c>
      <c r="Z4" s="351">
        <v>58</v>
      </c>
      <c r="AA4" s="390"/>
      <c r="AB4" s="123"/>
      <c r="AC4" s="123"/>
      <c r="AD4" s="124"/>
      <c r="AE4" s="125"/>
      <c r="AF4" s="125"/>
    </row>
    <row r="5" spans="1:37" ht="18.75" x14ac:dyDescent="0.45">
      <c r="A5" s="127"/>
      <c r="B5" s="128"/>
      <c r="C5" s="128"/>
      <c r="D5" s="128"/>
      <c r="E5" s="128"/>
      <c r="F5" s="129"/>
      <c r="G5" s="129"/>
      <c r="H5" s="130"/>
      <c r="I5" s="130"/>
      <c r="J5" s="130"/>
      <c r="K5" s="129"/>
      <c r="L5" s="129"/>
      <c r="M5" s="128"/>
      <c r="N5" s="128"/>
      <c r="O5" s="128"/>
      <c r="P5" s="128"/>
      <c r="Q5" s="128"/>
      <c r="R5" s="128"/>
      <c r="S5" s="128"/>
      <c r="T5" s="128"/>
      <c r="U5" s="130"/>
      <c r="V5" s="131"/>
      <c r="W5" s="131"/>
      <c r="X5" s="130"/>
      <c r="Y5" s="131"/>
      <c r="Z5" s="130"/>
      <c r="AA5" s="130"/>
      <c r="AB5" s="128"/>
      <c r="AC5" s="132"/>
      <c r="AD5" s="127"/>
      <c r="AE5" s="127"/>
      <c r="AF5" s="127"/>
      <c r="AG5" s="133"/>
      <c r="AH5" s="133"/>
      <c r="AI5" s="133"/>
    </row>
    <row r="6" spans="1:37" ht="22.5" x14ac:dyDescent="0.45">
      <c r="A6" s="134"/>
      <c r="B6" s="126"/>
      <c r="C6" s="126"/>
      <c r="D6" s="126"/>
      <c r="E6" s="135"/>
      <c r="F6" s="136"/>
      <c r="G6" s="136"/>
      <c r="H6" s="137"/>
      <c r="I6" s="137"/>
      <c r="J6" s="137"/>
      <c r="K6" s="138"/>
      <c r="L6" s="138"/>
      <c r="M6" s="126"/>
      <c r="N6" s="126"/>
      <c r="O6" s="126"/>
      <c r="P6" s="126"/>
      <c r="Q6" s="126"/>
      <c r="R6" s="126"/>
      <c r="S6" s="126"/>
      <c r="T6" s="126"/>
      <c r="U6" s="137"/>
      <c r="V6" s="139"/>
      <c r="W6" s="139"/>
      <c r="X6" s="137"/>
      <c r="Y6" s="139"/>
      <c r="Z6" s="137"/>
      <c r="AA6" s="137"/>
      <c r="AB6" s="126"/>
      <c r="AC6" s="140"/>
      <c r="AD6" s="134"/>
      <c r="AE6" s="134"/>
      <c r="AF6" s="134"/>
      <c r="AG6" s="141"/>
      <c r="AH6" s="141"/>
      <c r="AI6" s="141"/>
    </row>
    <row r="7" spans="1:37" ht="18.75" x14ac:dyDescent="0.45">
      <c r="A7" s="142"/>
      <c r="B7" s="143"/>
      <c r="C7" s="143"/>
      <c r="D7" s="143"/>
      <c r="E7" s="143"/>
      <c r="F7" s="143"/>
      <c r="G7" s="143"/>
      <c r="H7" s="144"/>
      <c r="I7" s="144"/>
      <c r="J7" s="144"/>
      <c r="K7" s="143"/>
      <c r="L7" s="143"/>
      <c r="M7" s="143"/>
      <c r="N7" s="143"/>
      <c r="O7" s="143"/>
      <c r="P7" s="143"/>
      <c r="Q7" s="143"/>
      <c r="R7" s="143"/>
      <c r="S7" s="143"/>
      <c r="T7" s="143"/>
      <c r="U7" s="143"/>
      <c r="V7" s="143"/>
      <c r="W7" s="143"/>
      <c r="X7" s="143"/>
      <c r="Y7" s="143"/>
      <c r="Z7" s="144"/>
      <c r="AA7" s="144"/>
      <c r="AB7" s="143"/>
      <c r="AC7" s="145"/>
      <c r="AD7" s="146"/>
      <c r="AE7" s="146"/>
      <c r="AF7" s="147"/>
      <c r="AG7" s="147"/>
      <c r="AH7" s="147"/>
      <c r="AI7" s="147"/>
    </row>
    <row r="8" spans="1:37" ht="20.25" x14ac:dyDescent="0.45">
      <c r="A8" s="126"/>
      <c r="B8" s="126"/>
      <c r="C8" s="126"/>
      <c r="D8" s="126"/>
      <c r="E8" s="126"/>
      <c r="F8" s="126"/>
      <c r="G8" s="126"/>
      <c r="H8" s="126"/>
      <c r="I8" s="126"/>
      <c r="J8" s="126"/>
      <c r="K8" s="126"/>
      <c r="L8" s="126"/>
      <c r="M8" s="126"/>
      <c r="N8" s="126"/>
      <c r="O8" s="126"/>
      <c r="P8" s="126"/>
      <c r="Q8" s="126"/>
      <c r="R8" s="126"/>
      <c r="S8" s="126"/>
      <c r="T8" s="126"/>
      <c r="U8" s="126"/>
      <c r="V8" s="126"/>
      <c r="W8" s="126"/>
      <c r="X8" s="126"/>
      <c r="Y8" s="126"/>
      <c r="Z8" s="126"/>
      <c r="AA8" s="126"/>
      <c r="AB8" s="126"/>
      <c r="AC8" s="126"/>
      <c r="AD8" s="122"/>
      <c r="AE8" s="122"/>
      <c r="AF8" s="123"/>
      <c r="AG8" s="123"/>
      <c r="AH8" s="123"/>
      <c r="AI8" s="123"/>
    </row>
    <row r="9" spans="1:37" ht="19.5" thickBot="1" x14ac:dyDescent="0.5">
      <c r="A9" s="148"/>
      <c r="B9" s="440"/>
      <c r="C9" s="440"/>
      <c r="D9" s="440"/>
      <c r="E9" s="440"/>
      <c r="F9" s="440"/>
      <c r="G9" s="440"/>
      <c r="H9" s="441"/>
      <c r="I9" s="441"/>
      <c r="J9" s="441"/>
      <c r="K9" s="441"/>
      <c r="L9" s="441"/>
      <c r="M9" s="441"/>
      <c r="N9" s="441"/>
      <c r="O9" s="441"/>
      <c r="P9" s="441"/>
      <c r="Q9" s="441"/>
      <c r="R9" s="441"/>
      <c r="S9" s="441"/>
      <c r="T9" s="441"/>
      <c r="U9" s="149"/>
      <c r="V9" s="150"/>
      <c r="W9" s="148"/>
      <c r="X9" s="150"/>
      <c r="Y9" s="150"/>
      <c r="Z9" s="148"/>
      <c r="AA9" s="148"/>
      <c r="AB9" s="148"/>
      <c r="AC9" s="148"/>
      <c r="AD9" s="148"/>
      <c r="AE9" s="151"/>
      <c r="AF9" s="151"/>
      <c r="AG9" s="123"/>
      <c r="AH9" s="123"/>
      <c r="AI9" s="123"/>
    </row>
    <row r="10" spans="1:37" ht="19.5" thickBot="1" x14ac:dyDescent="0.5">
      <c r="A10" s="152"/>
      <c r="B10" s="153" t="s">
        <v>249</v>
      </c>
      <c r="C10" s="154" t="s">
        <v>301</v>
      </c>
      <c r="D10" s="380" t="s">
        <v>201</v>
      </c>
      <c r="E10" s="379" t="s">
        <v>202</v>
      </c>
      <c r="F10" s="437" t="s">
        <v>362</v>
      </c>
      <c r="G10" s="438"/>
      <c r="H10" s="438"/>
      <c r="I10" s="438"/>
      <c r="J10" s="439"/>
      <c r="K10" s="437" t="s">
        <v>302</v>
      </c>
      <c r="L10" s="438"/>
      <c r="M10" s="438"/>
      <c r="N10" s="438"/>
      <c r="O10" s="438"/>
      <c r="P10" s="438"/>
      <c r="Q10" s="438"/>
      <c r="R10" s="438"/>
      <c r="S10" s="438"/>
      <c r="T10" s="438"/>
      <c r="U10" s="438"/>
      <c r="V10" s="439"/>
      <c r="W10" s="122"/>
      <c r="X10" s="122"/>
      <c r="Y10" s="122"/>
      <c r="Z10" s="122"/>
      <c r="AA10" s="122"/>
      <c r="AB10" s="122"/>
      <c r="AC10" s="122"/>
      <c r="AD10" s="122"/>
      <c r="AE10" s="122"/>
      <c r="AF10" s="123"/>
      <c r="AG10" s="123"/>
      <c r="AH10" s="123"/>
      <c r="AI10" s="123"/>
      <c r="AJ10" s="123"/>
    </row>
    <row r="11" spans="1:37" ht="19.5" thickTop="1" x14ac:dyDescent="0.45">
      <c r="A11" s="155" t="s">
        <v>203</v>
      </c>
      <c r="B11" s="156" t="s">
        <v>204</v>
      </c>
      <c r="C11" s="157"/>
      <c r="D11" s="158"/>
      <c r="E11" s="159"/>
      <c r="F11" s="160"/>
      <c r="G11" s="161"/>
      <c r="H11" s="162"/>
      <c r="I11" s="162"/>
      <c r="J11" s="162"/>
      <c r="K11" s="381"/>
      <c r="L11" s="382"/>
      <c r="M11" s="382"/>
      <c r="N11" s="382"/>
      <c r="O11" s="383"/>
      <c r="P11" s="167"/>
      <c r="Q11" s="167"/>
      <c r="R11" s="167"/>
      <c r="S11" s="167"/>
      <c r="T11" s="167"/>
      <c r="U11" s="167"/>
      <c r="V11" s="384"/>
      <c r="W11" s="122"/>
      <c r="X11" s="122"/>
      <c r="Y11" s="122"/>
      <c r="Z11" s="122"/>
      <c r="AA11" s="122"/>
      <c r="AB11" s="122"/>
      <c r="AC11" s="122"/>
      <c r="AD11" s="122"/>
      <c r="AE11" s="122"/>
      <c r="AF11" s="122"/>
      <c r="AG11" s="122"/>
      <c r="AH11" s="123"/>
      <c r="AI11" s="123"/>
      <c r="AJ11" s="123"/>
      <c r="AK11" s="123"/>
    </row>
    <row r="12" spans="1:37" ht="18.75" x14ac:dyDescent="0.45">
      <c r="A12" s="165" t="s">
        <v>205</v>
      </c>
      <c r="B12" s="166" t="s">
        <v>206</v>
      </c>
      <c r="C12" s="157"/>
      <c r="D12" s="158"/>
      <c r="E12" s="159"/>
      <c r="F12" s="160"/>
      <c r="G12" s="167"/>
      <c r="H12" s="168"/>
      <c r="I12" s="168"/>
      <c r="J12" s="168"/>
      <c r="K12" s="169"/>
      <c r="L12" s="170"/>
      <c r="M12" s="170"/>
      <c r="N12" s="170"/>
      <c r="O12" s="171"/>
      <c r="P12" s="172"/>
      <c r="Q12" s="172"/>
      <c r="R12" s="172"/>
      <c r="S12" s="172"/>
      <c r="T12" s="172"/>
      <c r="U12" s="172"/>
      <c r="V12" s="173"/>
      <c r="W12" s="122"/>
      <c r="X12" s="122"/>
      <c r="Y12" s="122"/>
      <c r="Z12" s="122"/>
      <c r="AA12" s="122"/>
      <c r="AB12" s="122"/>
      <c r="AC12" s="122"/>
      <c r="AD12" s="122"/>
      <c r="AE12" s="122"/>
      <c r="AF12" s="122"/>
      <c r="AG12" s="122"/>
      <c r="AH12" s="123"/>
      <c r="AI12" s="123"/>
      <c r="AJ12" s="123"/>
      <c r="AK12" s="123"/>
    </row>
    <row r="13" spans="1:37" ht="18.75" x14ac:dyDescent="0.45">
      <c r="A13" s="165" t="s">
        <v>207</v>
      </c>
      <c r="B13" s="174" t="s">
        <v>208</v>
      </c>
      <c r="C13" s="175"/>
      <c r="D13" s="176"/>
      <c r="E13" s="177"/>
      <c r="F13" s="178"/>
      <c r="G13" s="171"/>
      <c r="H13" s="179"/>
      <c r="I13" s="179"/>
      <c r="J13" s="179"/>
      <c r="K13" s="180"/>
      <c r="L13" s="181"/>
      <c r="M13" s="181"/>
      <c r="N13" s="181"/>
      <c r="O13" s="182"/>
      <c r="P13" s="171"/>
      <c r="Q13" s="171"/>
      <c r="R13" s="171"/>
      <c r="S13" s="171"/>
      <c r="T13" s="171"/>
      <c r="U13" s="171"/>
      <c r="V13" s="176"/>
      <c r="W13" s="122"/>
      <c r="X13" s="122"/>
      <c r="Y13" s="122"/>
      <c r="Z13" s="122"/>
      <c r="AA13" s="122"/>
      <c r="AB13" s="122"/>
      <c r="AC13" s="122"/>
      <c r="AD13" s="122"/>
      <c r="AE13" s="122"/>
      <c r="AF13" s="122"/>
      <c r="AG13" s="122"/>
      <c r="AH13" s="123"/>
      <c r="AI13" s="123"/>
      <c r="AJ13" s="123"/>
      <c r="AK13" s="123"/>
    </row>
    <row r="14" spans="1:37" ht="19.5" thickBot="1" x14ac:dyDescent="0.5">
      <c r="A14" s="165" t="s">
        <v>303</v>
      </c>
      <c r="B14" s="183" t="s">
        <v>209</v>
      </c>
      <c r="C14" s="184"/>
      <c r="D14" s="420" t="s">
        <v>363</v>
      </c>
      <c r="E14" s="177" t="s">
        <v>364</v>
      </c>
      <c r="F14" s="185" t="s">
        <v>365</v>
      </c>
      <c r="G14" s="396" t="s">
        <v>366</v>
      </c>
      <c r="H14" s="187"/>
      <c r="I14" s="187"/>
      <c r="J14" s="397" t="s">
        <v>342</v>
      </c>
      <c r="K14" s="188" t="s">
        <v>368</v>
      </c>
      <c r="L14" s="189" t="s">
        <v>385</v>
      </c>
      <c r="M14" s="189" t="s">
        <v>347</v>
      </c>
      <c r="N14" s="189" t="s">
        <v>349</v>
      </c>
      <c r="O14" s="186" t="s">
        <v>230</v>
      </c>
      <c r="P14" s="186" t="s">
        <v>369</v>
      </c>
      <c r="Q14" s="186" t="s">
        <v>353</v>
      </c>
      <c r="R14" s="186" t="s">
        <v>352</v>
      </c>
      <c r="S14" s="186" t="s">
        <v>355</v>
      </c>
      <c r="T14" s="186" t="s">
        <v>370</v>
      </c>
      <c r="U14" s="186" t="s">
        <v>371</v>
      </c>
      <c r="V14" s="190"/>
      <c r="W14" s="401"/>
      <c r="X14" s="401"/>
      <c r="Y14" s="401"/>
      <c r="Z14" s="401"/>
      <c r="AA14" s="401"/>
      <c r="AB14" s="401"/>
      <c r="AC14" s="401"/>
      <c r="AD14" s="401"/>
      <c r="AE14" s="401"/>
      <c r="AF14" s="401"/>
      <c r="AG14" s="401"/>
      <c r="AH14" s="402"/>
      <c r="AI14" s="402"/>
      <c r="AJ14" s="402"/>
      <c r="AK14" s="402"/>
    </row>
    <row r="15" spans="1:37" ht="20.25" thickTop="1" thickBot="1" x14ac:dyDescent="0.5">
      <c r="A15" s="165" t="s">
        <v>210</v>
      </c>
      <c r="B15" s="191" t="s">
        <v>211</v>
      </c>
      <c r="C15" s="192"/>
      <c r="D15" s="193"/>
      <c r="E15" s="194"/>
      <c r="F15" s="195"/>
      <c r="G15" s="196" t="s">
        <v>348</v>
      </c>
      <c r="H15" s="296" t="s">
        <v>367</v>
      </c>
      <c r="I15" s="296" t="s">
        <v>232</v>
      </c>
      <c r="J15" s="197"/>
      <c r="K15" s="198" t="s">
        <v>341</v>
      </c>
      <c r="L15" s="199"/>
      <c r="M15" s="199" t="s">
        <v>354</v>
      </c>
      <c r="N15" s="199" t="s">
        <v>232</v>
      </c>
      <c r="O15" s="200"/>
      <c r="P15" s="194"/>
      <c r="Q15" s="200"/>
      <c r="R15" s="194"/>
      <c r="S15" s="196"/>
      <c r="T15" s="196"/>
      <c r="U15" s="196"/>
      <c r="V15" s="197"/>
      <c r="W15" s="122"/>
      <c r="X15" s="122"/>
      <c r="Y15" s="122"/>
      <c r="Z15" s="122"/>
      <c r="AA15" s="122"/>
      <c r="AB15" s="122"/>
      <c r="AC15" s="122"/>
      <c r="AD15" s="122"/>
      <c r="AE15" s="122"/>
      <c r="AF15" s="122"/>
      <c r="AG15" s="123"/>
      <c r="AH15" s="123"/>
      <c r="AI15" s="123"/>
      <c r="AJ15" s="123"/>
      <c r="AK15" s="123"/>
    </row>
    <row r="16" spans="1:37" ht="19.5" thickTop="1" x14ac:dyDescent="0.45">
      <c r="A16" s="165" t="s">
        <v>304</v>
      </c>
      <c r="B16" s="166" t="s">
        <v>305</v>
      </c>
      <c r="C16" s="175"/>
      <c r="D16" s="158"/>
      <c r="E16" s="159"/>
      <c r="F16" s="177"/>
      <c r="G16" s="201"/>
      <c r="H16" s="297"/>
      <c r="I16" s="297"/>
      <c r="J16" s="202"/>
      <c r="K16" s="163"/>
      <c r="L16" s="164" t="s">
        <v>383</v>
      </c>
      <c r="M16" s="164" t="s">
        <v>384</v>
      </c>
      <c r="N16" s="203"/>
      <c r="O16" s="203"/>
      <c r="P16" s="203"/>
      <c r="Q16" s="203"/>
      <c r="R16" s="203"/>
      <c r="S16" s="201"/>
      <c r="T16" s="201"/>
      <c r="U16" s="201"/>
      <c r="V16" s="204"/>
      <c r="W16" s="122"/>
      <c r="X16" s="122"/>
      <c r="Y16" s="122"/>
      <c r="Z16" s="122"/>
      <c r="AA16" s="122"/>
      <c r="AB16" s="122"/>
      <c r="AC16" s="122"/>
      <c r="AD16" s="122"/>
      <c r="AE16" s="122"/>
      <c r="AF16" s="122"/>
      <c r="AG16" s="122"/>
      <c r="AH16" s="123"/>
      <c r="AI16" s="123"/>
      <c r="AJ16" s="123"/>
      <c r="AK16" s="123"/>
    </row>
    <row r="17" spans="1:37" ht="19.5" thickBot="1" x14ac:dyDescent="0.5">
      <c r="A17" s="165" t="s">
        <v>212</v>
      </c>
      <c r="B17" s="205" t="s">
        <v>306</v>
      </c>
      <c r="C17" s="206"/>
      <c r="D17" s="207"/>
      <c r="E17" s="208"/>
      <c r="F17" s="209"/>
      <c r="G17" s="210"/>
      <c r="H17" s="211"/>
      <c r="I17" s="211"/>
      <c r="J17" s="211"/>
      <c r="K17" s="212"/>
      <c r="L17" s="213"/>
      <c r="M17" s="213"/>
      <c r="N17" s="214"/>
      <c r="O17" s="215"/>
      <c r="P17" s="215"/>
      <c r="Q17" s="215"/>
      <c r="R17" s="215"/>
      <c r="S17" s="214"/>
      <c r="T17" s="215"/>
      <c r="U17" s="215"/>
      <c r="V17" s="216"/>
      <c r="W17" s="122"/>
      <c r="X17" s="122"/>
      <c r="Y17" s="122"/>
      <c r="Z17" s="122"/>
      <c r="AA17" s="122"/>
      <c r="AB17" s="122"/>
      <c r="AC17" s="122"/>
      <c r="AD17" s="122"/>
      <c r="AE17" s="122"/>
      <c r="AF17" s="122"/>
      <c r="AG17" s="122"/>
      <c r="AH17" s="123"/>
      <c r="AI17" s="123"/>
      <c r="AJ17" s="123"/>
      <c r="AK17" s="123"/>
    </row>
    <row r="18" spans="1:37" ht="18.75" x14ac:dyDescent="0.45">
      <c r="A18" s="148"/>
      <c r="B18" s="148"/>
      <c r="C18" s="148"/>
      <c r="D18" s="148"/>
      <c r="E18" s="148"/>
      <c r="F18" s="148"/>
      <c r="G18" s="122"/>
      <c r="H18" s="122"/>
      <c r="I18" s="122"/>
      <c r="J18" s="122"/>
      <c r="K18" s="122"/>
      <c r="L18" s="122"/>
      <c r="M18" s="122"/>
      <c r="N18" s="122"/>
      <c r="O18" s="122"/>
      <c r="P18" s="122"/>
      <c r="Q18" s="122"/>
      <c r="R18" s="122"/>
      <c r="S18" s="122"/>
      <c r="T18" s="122"/>
      <c r="U18" s="122"/>
      <c r="V18" s="122"/>
      <c r="W18" s="122"/>
      <c r="X18" s="122"/>
      <c r="Y18" s="122"/>
      <c r="Z18" s="122"/>
      <c r="AA18" s="122"/>
      <c r="AB18" s="122"/>
      <c r="AC18" s="122"/>
      <c r="AD18" s="123"/>
      <c r="AE18" s="123"/>
      <c r="AF18" s="123"/>
      <c r="AG18" s="123"/>
      <c r="AH18" s="123"/>
      <c r="AI18" s="123"/>
    </row>
    <row r="19" spans="1:37" ht="18.75" x14ac:dyDescent="0.45">
      <c r="A19" s="148"/>
      <c r="B19" s="148"/>
      <c r="C19" s="148"/>
      <c r="D19" s="148"/>
      <c r="E19" s="148"/>
      <c r="F19" s="148"/>
      <c r="G19" s="148"/>
      <c r="H19" s="148"/>
      <c r="I19" s="148"/>
      <c r="J19" s="148"/>
      <c r="K19" s="148"/>
      <c r="L19" s="148"/>
      <c r="M19" s="148"/>
      <c r="N19" s="148"/>
      <c r="O19" s="148"/>
      <c r="P19" s="148"/>
      <c r="Q19" s="148"/>
      <c r="R19" s="148"/>
      <c r="S19" s="148"/>
      <c r="T19" s="148"/>
      <c r="U19" s="148"/>
      <c r="V19" s="148"/>
      <c r="W19" s="122"/>
      <c r="X19" s="122"/>
      <c r="Y19" s="122"/>
      <c r="Z19" s="122"/>
      <c r="AA19" s="122"/>
      <c r="AB19" s="122"/>
      <c r="AC19" s="122"/>
      <c r="AD19" s="122"/>
      <c r="AE19" s="123"/>
      <c r="AF19" s="123"/>
      <c r="AG19" s="123"/>
      <c r="AH19" s="123"/>
      <c r="AI19" s="123"/>
    </row>
    <row r="20" spans="1:37" ht="20.25" thickBot="1" x14ac:dyDescent="0.5">
      <c r="A20" s="217" t="s">
        <v>213</v>
      </c>
      <c r="B20" s="148"/>
      <c r="C20" s="148"/>
      <c r="D20" s="148"/>
      <c r="E20" s="148"/>
      <c r="F20" s="122"/>
      <c r="G20" s="122"/>
      <c r="H20" s="122"/>
      <c r="I20" s="122"/>
      <c r="J20" s="122"/>
      <c r="K20" s="122"/>
      <c r="L20" s="122"/>
      <c r="M20" s="122"/>
      <c r="N20" s="218" t="s">
        <v>214</v>
      </c>
      <c r="O20" s="219"/>
      <c r="P20" s="219"/>
      <c r="Q20" s="219"/>
      <c r="R20" s="219"/>
      <c r="S20" s="219"/>
      <c r="T20" s="219"/>
      <c r="U20" s="220"/>
      <c r="V20" s="220"/>
      <c r="W20" s="220"/>
      <c r="X20" s="220"/>
      <c r="Y20" s="220"/>
      <c r="Z20" s="220"/>
      <c r="AA20" s="220"/>
      <c r="AB20" s="221"/>
      <c r="AC20" s="221"/>
      <c r="AD20" s="122"/>
      <c r="AE20" s="123"/>
      <c r="AF20" s="123"/>
      <c r="AG20" s="123"/>
      <c r="AH20" s="123"/>
      <c r="AI20" s="123"/>
    </row>
    <row r="21" spans="1:37" ht="27.75" thickBot="1" x14ac:dyDescent="0.5">
      <c r="A21" s="222" t="s">
        <v>373</v>
      </c>
      <c r="B21" s="223" t="s">
        <v>375</v>
      </c>
      <c r="C21" s="223" t="s">
        <v>377</v>
      </c>
      <c r="D21" s="223" t="s">
        <v>379</v>
      </c>
      <c r="E21" s="223" t="s">
        <v>380</v>
      </c>
      <c r="F21" s="223" t="s">
        <v>381</v>
      </c>
      <c r="G21" s="224" t="s">
        <v>382</v>
      </c>
      <c r="H21" s="225" t="s">
        <v>377</v>
      </c>
      <c r="I21" s="122"/>
      <c r="J21" s="122"/>
      <c r="K21" s="122"/>
      <c r="L21" s="122"/>
      <c r="M21" s="498" t="s">
        <v>339</v>
      </c>
      <c r="N21" s="226" t="s">
        <v>279</v>
      </c>
      <c r="O21" s="226" t="s">
        <v>280</v>
      </c>
      <c r="P21" s="226" t="s">
        <v>319</v>
      </c>
      <c r="Q21" s="226" t="s">
        <v>282</v>
      </c>
      <c r="R21" s="226" t="s">
        <v>283</v>
      </c>
      <c r="S21" s="227" t="s">
        <v>284</v>
      </c>
      <c r="T21" s="226" t="s">
        <v>279</v>
      </c>
      <c r="U21" s="226" t="s">
        <v>280</v>
      </c>
      <c r="V21" s="226" t="s">
        <v>281</v>
      </c>
      <c r="W21" s="226" t="s">
        <v>282</v>
      </c>
      <c r="X21" s="226" t="s">
        <v>283</v>
      </c>
      <c r="Y21" s="226" t="s">
        <v>284</v>
      </c>
      <c r="Z21" s="123" t="s">
        <v>334</v>
      </c>
      <c r="AA21" s="123" t="s">
        <v>335</v>
      </c>
      <c r="AB21" s="489"/>
      <c r="AC21" s="489"/>
      <c r="AD21" s="386"/>
      <c r="AE21" s="386"/>
      <c r="AF21" s="386"/>
      <c r="AG21" s="386"/>
      <c r="AH21" s="123"/>
      <c r="AI21" s="123"/>
    </row>
    <row r="22" spans="1:37" ht="24" thickTop="1" thickBot="1" x14ac:dyDescent="0.5">
      <c r="A22" s="228">
        <f>(A23*3+A24)/4</f>
        <v>51.5</v>
      </c>
      <c r="B22" s="229">
        <f t="shared" ref="B22:H22" si="0">(B23*3+B24)/4</f>
        <v>47</v>
      </c>
      <c r="C22" s="229">
        <f t="shared" si="0"/>
        <v>40</v>
      </c>
      <c r="D22" s="229">
        <f t="shared" si="0"/>
        <v>48.5</v>
      </c>
      <c r="E22" s="229">
        <f t="shared" si="0"/>
        <v>44.25</v>
      </c>
      <c r="F22" s="229">
        <f t="shared" si="0"/>
        <v>38.5</v>
      </c>
      <c r="G22" s="229">
        <f t="shared" si="0"/>
        <v>38.5</v>
      </c>
      <c r="H22" s="230">
        <f t="shared" si="0"/>
        <v>42.5</v>
      </c>
      <c r="I22" s="231" t="s">
        <v>215</v>
      </c>
      <c r="J22" s="231"/>
      <c r="K22" s="122"/>
      <c r="L22" s="148"/>
      <c r="M22" s="495" t="s">
        <v>199</v>
      </c>
      <c r="N22" s="387" t="s">
        <v>320</v>
      </c>
      <c r="O22" s="366" t="s">
        <v>321</v>
      </c>
      <c r="P22" s="366" t="s">
        <v>268</v>
      </c>
      <c r="Q22" s="366" t="s">
        <v>216</v>
      </c>
      <c r="R22" s="366" t="s">
        <v>322</v>
      </c>
      <c r="S22" s="367"/>
      <c r="T22" s="355">
        <v>2.5</v>
      </c>
      <c r="U22" s="356">
        <v>2.5</v>
      </c>
      <c r="V22" s="356">
        <v>2</v>
      </c>
      <c r="W22" s="356">
        <v>2</v>
      </c>
      <c r="X22" s="356">
        <v>2</v>
      </c>
      <c r="Y22" s="356"/>
      <c r="Z22" s="234">
        <f>SUM(T22:Y22)</f>
        <v>11</v>
      </c>
      <c r="AA22" s="421">
        <f>Z22/25*100</f>
        <v>44</v>
      </c>
      <c r="AB22" s="490"/>
      <c r="AC22" s="490"/>
      <c r="AF22" s="386"/>
      <c r="AG22" s="386"/>
      <c r="AH22" s="123"/>
      <c r="AI22" s="123"/>
    </row>
    <row r="23" spans="1:37" ht="18.75" x14ac:dyDescent="0.45">
      <c r="A23" s="235">
        <v>53.333333333333329</v>
      </c>
      <c r="B23" s="235">
        <v>48</v>
      </c>
      <c r="C23" s="235">
        <v>38.666666666666664</v>
      </c>
      <c r="D23" s="235">
        <v>48</v>
      </c>
      <c r="E23" s="235">
        <v>44</v>
      </c>
      <c r="F23" s="235">
        <v>36</v>
      </c>
      <c r="G23" s="235">
        <v>36</v>
      </c>
      <c r="H23" s="236">
        <v>41.333333333333329</v>
      </c>
      <c r="I23" s="231" t="s">
        <v>217</v>
      </c>
      <c r="J23" s="501"/>
      <c r="K23" s="122"/>
      <c r="L23" s="148"/>
      <c r="M23" s="495" t="s">
        <v>218</v>
      </c>
      <c r="N23" s="388" t="s">
        <v>323</v>
      </c>
      <c r="O23" s="366" t="s">
        <v>219</v>
      </c>
      <c r="P23" s="366" t="s">
        <v>285</v>
      </c>
      <c r="Q23" s="366" t="s">
        <v>324</v>
      </c>
      <c r="R23" s="366" t="s">
        <v>321</v>
      </c>
      <c r="S23" s="367"/>
      <c r="T23" s="355">
        <v>0</v>
      </c>
      <c r="U23" s="356">
        <v>2.5</v>
      </c>
      <c r="V23" s="356">
        <v>2.5</v>
      </c>
      <c r="W23" s="356">
        <v>2</v>
      </c>
      <c r="X23" s="356">
        <v>2.5</v>
      </c>
      <c r="Y23" s="356"/>
      <c r="Z23" s="234">
        <f>SUM(T23:Y23)</f>
        <v>9.5</v>
      </c>
      <c r="AA23" s="421">
        <f t="shared" ref="AA23:AA27" si="1">Z23/25*100</f>
        <v>38</v>
      </c>
      <c r="AB23" s="489"/>
      <c r="AC23" s="489"/>
      <c r="AH23" s="123"/>
      <c r="AI23" s="123"/>
    </row>
    <row r="24" spans="1:37" ht="18.75" x14ac:dyDescent="0.45">
      <c r="A24" s="236">
        <v>46</v>
      </c>
      <c r="B24" s="236">
        <v>44</v>
      </c>
      <c r="C24" s="236">
        <v>44</v>
      </c>
      <c r="D24" s="236">
        <v>50</v>
      </c>
      <c r="E24" s="236">
        <v>45</v>
      </c>
      <c r="F24" s="236">
        <v>46</v>
      </c>
      <c r="G24" s="236">
        <v>46</v>
      </c>
      <c r="H24" s="236">
        <v>46</v>
      </c>
      <c r="I24" s="231" t="s">
        <v>220</v>
      </c>
      <c r="J24" s="231"/>
      <c r="K24" s="122"/>
      <c r="L24" s="148"/>
      <c r="M24" s="495" t="s">
        <v>272</v>
      </c>
      <c r="N24" s="388" t="s">
        <v>323</v>
      </c>
      <c r="O24" s="368" t="s">
        <v>223</v>
      </c>
      <c r="P24" s="366" t="s">
        <v>271</v>
      </c>
      <c r="Q24" s="368" t="s">
        <v>321</v>
      </c>
      <c r="R24" s="368" t="s">
        <v>325</v>
      </c>
      <c r="S24" s="369"/>
      <c r="T24" s="356">
        <v>0</v>
      </c>
      <c r="U24" s="356">
        <v>0</v>
      </c>
      <c r="V24" s="356">
        <v>0</v>
      </c>
      <c r="W24" s="356">
        <v>2.5</v>
      </c>
      <c r="X24" s="356">
        <v>2</v>
      </c>
      <c r="Y24" s="356"/>
      <c r="Z24" s="234">
        <f>SUM(T24:Y24)</f>
        <v>4.5</v>
      </c>
      <c r="AA24" s="421">
        <f t="shared" si="1"/>
        <v>18</v>
      </c>
      <c r="AB24" s="490"/>
      <c r="AC24" s="491"/>
      <c r="AD24" s="386"/>
      <c r="AE24" s="386"/>
      <c r="AF24" s="386"/>
      <c r="AG24" s="386"/>
      <c r="AH24" s="123"/>
      <c r="AI24" s="123"/>
    </row>
    <row r="25" spans="1:37" ht="18.75" x14ac:dyDescent="0.45">
      <c r="A25" s="122"/>
      <c r="B25" s="122"/>
      <c r="C25" s="122"/>
      <c r="D25" s="122"/>
      <c r="E25" s="122"/>
      <c r="F25" s="122"/>
      <c r="G25" s="122"/>
      <c r="H25" s="122"/>
      <c r="I25" s="122"/>
      <c r="J25" s="122"/>
      <c r="K25" s="148"/>
      <c r="L25" s="148"/>
      <c r="M25" s="495" t="s">
        <v>221</v>
      </c>
      <c r="N25" s="389" t="s">
        <v>326</v>
      </c>
      <c r="O25" s="368" t="s">
        <v>327</v>
      </c>
      <c r="P25" s="368" t="s">
        <v>268</v>
      </c>
      <c r="Q25" s="368" t="s">
        <v>325</v>
      </c>
      <c r="R25" s="368" t="s">
        <v>219</v>
      </c>
      <c r="S25" s="369"/>
      <c r="T25" s="355">
        <v>2</v>
      </c>
      <c r="U25" s="356">
        <v>2.75</v>
      </c>
      <c r="V25" s="356">
        <v>2</v>
      </c>
      <c r="W25" s="356">
        <v>2</v>
      </c>
      <c r="X25" s="356">
        <v>2.5</v>
      </c>
      <c r="Y25" s="356"/>
      <c r="Z25" s="234">
        <f>SUM(T25:Y25)</f>
        <v>11.25</v>
      </c>
      <c r="AA25" s="421">
        <f t="shared" si="1"/>
        <v>45</v>
      </c>
      <c r="AB25" s="490"/>
      <c r="AC25" s="490"/>
      <c r="AD25" s="122"/>
      <c r="AE25" s="123"/>
      <c r="AF25" s="123"/>
      <c r="AG25" s="123"/>
      <c r="AH25" s="123"/>
      <c r="AI25" s="123"/>
    </row>
    <row r="26" spans="1:37" ht="19.5" x14ac:dyDescent="0.45">
      <c r="A26" s="221"/>
      <c r="B26" s="221"/>
      <c r="C26" s="221"/>
      <c r="D26" s="221"/>
      <c r="E26" s="221"/>
      <c r="F26" s="221"/>
      <c r="G26" s="221"/>
      <c r="H26" s="221"/>
      <c r="I26" s="221"/>
      <c r="J26" s="221"/>
      <c r="K26" s="221"/>
      <c r="L26" s="221"/>
      <c r="M26" s="495" t="s">
        <v>222</v>
      </c>
      <c r="N26" s="370" t="s">
        <v>216</v>
      </c>
      <c r="O26" s="370" t="s">
        <v>285</v>
      </c>
      <c r="P26" s="370" t="s">
        <v>285</v>
      </c>
      <c r="Q26" s="370" t="s">
        <v>216</v>
      </c>
      <c r="R26" s="370" t="s">
        <v>321</v>
      </c>
      <c r="S26" s="371"/>
      <c r="T26" s="372">
        <v>2</v>
      </c>
      <c r="U26" s="373">
        <v>2.5</v>
      </c>
      <c r="V26" s="373">
        <v>2.5</v>
      </c>
      <c r="W26" s="373">
        <v>2</v>
      </c>
      <c r="X26" s="373">
        <v>2.5</v>
      </c>
      <c r="Y26" s="373"/>
      <c r="Z26" s="234">
        <f>SUM(T26:Y26)</f>
        <v>11.5</v>
      </c>
      <c r="AA26" s="421">
        <f t="shared" si="1"/>
        <v>46</v>
      </c>
      <c r="AB26" s="489"/>
      <c r="AC26" s="489"/>
      <c r="AD26" s="221"/>
      <c r="AE26" s="240"/>
      <c r="AF26" s="240"/>
      <c r="AG26" s="240"/>
      <c r="AH26" s="240"/>
      <c r="AI26" s="240"/>
    </row>
    <row r="27" spans="1:37" ht="18.75" x14ac:dyDescent="0.45">
      <c r="A27" s="122"/>
      <c r="B27" s="122"/>
      <c r="C27" s="122"/>
      <c r="D27" s="122"/>
      <c r="E27" s="122"/>
      <c r="F27" s="122"/>
      <c r="G27" s="122"/>
      <c r="H27" s="122"/>
      <c r="I27" s="122"/>
      <c r="J27" s="122"/>
      <c r="K27" s="122"/>
      <c r="L27" s="122"/>
      <c r="M27" s="495" t="s">
        <v>336</v>
      </c>
      <c r="N27" s="233"/>
      <c r="O27" s="233"/>
      <c r="P27" s="233"/>
      <c r="Q27" s="237"/>
      <c r="R27" s="237"/>
      <c r="S27" s="238"/>
      <c r="T27" s="355"/>
      <c r="U27" s="356"/>
      <c r="V27" s="356"/>
      <c r="W27" s="356"/>
      <c r="X27" s="356"/>
      <c r="Y27" s="356"/>
      <c r="Z27" s="239">
        <f>2.5*5</f>
        <v>12.5</v>
      </c>
      <c r="AA27" s="239">
        <f t="shared" si="1"/>
        <v>50</v>
      </c>
      <c r="AB27" s="490"/>
      <c r="AC27" s="490"/>
      <c r="AD27" s="122"/>
      <c r="AE27" s="123"/>
      <c r="AF27" s="123"/>
      <c r="AG27" s="123"/>
      <c r="AH27" s="123"/>
      <c r="AI27" s="123"/>
    </row>
    <row r="28" spans="1:37" ht="18.75" x14ac:dyDescent="0.45">
      <c r="A28" s="122"/>
      <c r="B28" s="122"/>
      <c r="C28" s="122"/>
      <c r="D28" s="122"/>
      <c r="E28" s="122"/>
      <c r="F28" s="122"/>
      <c r="G28" s="122"/>
      <c r="H28" s="122"/>
      <c r="I28" s="122"/>
      <c r="J28" s="122"/>
      <c r="K28" s="122"/>
      <c r="L28" s="122"/>
      <c r="M28" s="232"/>
      <c r="N28" s="492"/>
      <c r="O28" s="492"/>
      <c r="P28" s="492"/>
      <c r="Q28" s="493"/>
      <c r="R28" s="493"/>
      <c r="S28" s="493"/>
      <c r="T28" s="494"/>
      <c r="U28" s="494"/>
      <c r="V28" s="494"/>
      <c r="W28" s="494"/>
      <c r="X28" s="494"/>
      <c r="Y28" s="494"/>
      <c r="Z28" s="239"/>
      <c r="AA28" s="239"/>
      <c r="AB28" s="490"/>
      <c r="AC28" s="490"/>
      <c r="AD28" s="122"/>
      <c r="AE28" s="123"/>
      <c r="AF28" s="123"/>
      <c r="AG28" s="123"/>
      <c r="AH28" s="123"/>
      <c r="AI28" s="123"/>
    </row>
    <row r="29" spans="1:37" ht="18.75" x14ac:dyDescent="0.45">
      <c r="A29" s="122"/>
      <c r="B29" s="122"/>
      <c r="C29" s="122"/>
      <c r="D29" s="122"/>
      <c r="E29" s="122"/>
      <c r="F29" s="122"/>
      <c r="G29" s="122"/>
      <c r="H29" s="122"/>
      <c r="I29" s="122"/>
      <c r="J29" s="122"/>
      <c r="K29" s="122"/>
      <c r="L29" s="122"/>
      <c r="M29" s="495" t="s">
        <v>337</v>
      </c>
      <c r="N29" s="496" t="s">
        <v>270</v>
      </c>
      <c r="O29" s="497" t="s">
        <v>274</v>
      </c>
      <c r="P29" s="496" t="s">
        <v>269</v>
      </c>
      <c r="Q29" s="497" t="s">
        <v>327</v>
      </c>
      <c r="R29" s="497" t="s">
        <v>219</v>
      </c>
      <c r="S29" s="496" t="s">
        <v>268</v>
      </c>
      <c r="T29" s="497" t="s">
        <v>273</v>
      </c>
      <c r="U29" s="496" t="s">
        <v>271</v>
      </c>
      <c r="V29" s="494"/>
      <c r="W29" s="494"/>
      <c r="X29" s="494"/>
      <c r="Y29" s="494"/>
      <c r="Z29" s="239"/>
      <c r="AA29" s="239"/>
      <c r="AB29" s="490"/>
      <c r="AC29" s="490"/>
      <c r="AD29" s="122"/>
      <c r="AE29" s="123"/>
      <c r="AF29" s="123"/>
      <c r="AG29" s="123"/>
      <c r="AH29" s="123"/>
      <c r="AI29" s="123"/>
    </row>
    <row r="30" spans="1:37" ht="18.75" x14ac:dyDescent="0.45">
      <c r="A30" s="122"/>
      <c r="B30" s="122"/>
      <c r="C30" s="122"/>
      <c r="D30" s="122"/>
      <c r="E30" s="122"/>
      <c r="F30" s="122"/>
      <c r="G30" s="122"/>
      <c r="H30" s="122"/>
      <c r="I30" s="122"/>
      <c r="J30" s="122"/>
      <c r="K30" s="122"/>
      <c r="L30" s="122"/>
      <c r="M30" s="498" t="s">
        <v>338</v>
      </c>
      <c r="N30" s="496">
        <v>5</v>
      </c>
      <c r="O30" s="497">
        <v>4</v>
      </c>
      <c r="P30" s="496">
        <v>3</v>
      </c>
      <c r="Q30" s="499">
        <v>2.75</v>
      </c>
      <c r="R30" s="497">
        <v>2.5</v>
      </c>
      <c r="S30" s="496">
        <v>2</v>
      </c>
      <c r="T30" s="497">
        <v>1</v>
      </c>
      <c r="U30" s="496">
        <v>0</v>
      </c>
      <c r="V30" s="122"/>
      <c r="W30" s="122"/>
      <c r="X30" s="122"/>
      <c r="Y30" s="122"/>
      <c r="Z30" s="122"/>
      <c r="AA30" s="122"/>
      <c r="AB30" s="489"/>
      <c r="AC30" s="489"/>
      <c r="AD30" s="122"/>
      <c r="AE30" s="123"/>
      <c r="AF30" s="123"/>
      <c r="AG30" s="123"/>
      <c r="AH30" s="123"/>
      <c r="AI30" s="123"/>
    </row>
    <row r="31" spans="1:37" ht="18.75" x14ac:dyDescent="0.45">
      <c r="A31" s="122" t="s">
        <v>224</v>
      </c>
      <c r="B31" s="122"/>
      <c r="C31" s="122"/>
      <c r="D31" s="122"/>
      <c r="E31" s="122"/>
      <c r="F31" s="122"/>
      <c r="G31" s="122"/>
      <c r="H31" s="122"/>
      <c r="I31" s="122"/>
      <c r="J31" s="122"/>
      <c r="K31" s="241"/>
      <c r="L31" s="122"/>
      <c r="M31" s="122"/>
      <c r="N31" s="122"/>
      <c r="O31" s="122"/>
      <c r="P31" s="122"/>
      <c r="Q31" s="122"/>
      <c r="R31" s="122"/>
      <c r="S31" s="122"/>
      <c r="T31" s="122"/>
      <c r="U31" s="122"/>
      <c r="V31" s="122"/>
      <c r="W31" s="122"/>
      <c r="X31" s="122"/>
      <c r="Y31" s="122"/>
      <c r="Z31" s="122"/>
      <c r="AA31" s="122"/>
      <c r="AB31" s="122"/>
      <c r="AC31" s="122"/>
      <c r="AD31" s="122"/>
      <c r="AE31" s="123"/>
      <c r="AF31" s="123"/>
      <c r="AG31" s="123"/>
      <c r="AH31" s="123"/>
      <c r="AI31" s="123"/>
    </row>
    <row r="32" spans="1:37" ht="19.5" thickBot="1" x14ac:dyDescent="0.5">
      <c r="A32" s="148" t="s">
        <v>307</v>
      </c>
      <c r="B32" s="148"/>
      <c r="C32" s="148"/>
      <c r="D32" s="148"/>
      <c r="E32" s="148"/>
      <c r="F32" s="148"/>
      <c r="G32" s="148"/>
      <c r="H32" s="122"/>
      <c r="I32" s="148" t="s">
        <v>308</v>
      </c>
      <c r="J32" s="385"/>
      <c r="K32" s="385"/>
      <c r="L32" s="385"/>
      <c r="M32" s="385"/>
      <c r="N32" s="385"/>
      <c r="O32" s="385"/>
      <c r="P32" s="122"/>
      <c r="Q32" s="122"/>
      <c r="R32" s="122"/>
      <c r="S32" s="122"/>
      <c r="T32" s="122"/>
      <c r="U32" s="122"/>
      <c r="V32" s="122"/>
      <c r="W32" s="122"/>
      <c r="X32" s="122"/>
      <c r="Y32" s="122"/>
      <c r="Z32" s="122"/>
      <c r="AA32" s="122"/>
      <c r="AB32" s="122"/>
      <c r="AC32" s="122"/>
      <c r="AD32" s="122"/>
      <c r="AE32" s="123"/>
      <c r="AF32" s="123"/>
      <c r="AG32" s="123"/>
      <c r="AH32" s="123"/>
      <c r="AI32" s="123"/>
    </row>
    <row r="33" spans="1:35" ht="23.25" thickBot="1" x14ac:dyDescent="0.5">
      <c r="A33" s="242" t="s">
        <v>225</v>
      </c>
      <c r="B33" s="243" t="s">
        <v>226</v>
      </c>
      <c r="C33" s="244" t="s">
        <v>227</v>
      </c>
      <c r="D33" s="245" t="s">
        <v>228</v>
      </c>
      <c r="E33" s="502"/>
      <c r="F33" s="503"/>
      <c r="G33" s="504"/>
      <c r="H33" s="122"/>
      <c r="I33" s="242" t="s">
        <v>225</v>
      </c>
      <c r="J33" s="243" t="s">
        <v>226</v>
      </c>
      <c r="K33" s="244" t="s">
        <v>227</v>
      </c>
      <c r="L33" s="245" t="s">
        <v>228</v>
      </c>
      <c r="M33" s="502"/>
      <c r="N33" s="503"/>
      <c r="O33" s="504"/>
      <c r="P33" s="122"/>
      <c r="Q33" s="122"/>
      <c r="R33" s="122"/>
      <c r="S33" s="122"/>
      <c r="AG33" s="123"/>
      <c r="AH33" s="123"/>
      <c r="AI33" s="123"/>
    </row>
    <row r="34" spans="1:35" ht="20.25" thickTop="1" thickBot="1" x14ac:dyDescent="0.5">
      <c r="A34" s="246" t="s">
        <v>229</v>
      </c>
      <c r="B34" s="247" t="s">
        <v>200</v>
      </c>
      <c r="C34" s="248" t="s">
        <v>230</v>
      </c>
      <c r="D34" s="505">
        <v>6</v>
      </c>
      <c r="E34" s="249"/>
      <c r="F34" s="248"/>
      <c r="G34" s="250"/>
      <c r="H34" s="122"/>
      <c r="I34" s="246" t="s">
        <v>229</v>
      </c>
      <c r="J34" s="247" t="s">
        <v>200</v>
      </c>
      <c r="K34" s="248" t="s">
        <v>230</v>
      </c>
      <c r="L34" s="505">
        <v>6</v>
      </c>
      <c r="M34" s="249"/>
      <c r="N34" s="248"/>
      <c r="O34" s="250"/>
      <c r="P34" s="122"/>
      <c r="Q34" s="122"/>
      <c r="R34" s="122"/>
      <c r="S34" s="122"/>
      <c r="AG34" s="123"/>
      <c r="AH34" s="123"/>
      <c r="AI34" s="123"/>
    </row>
    <row r="35" spans="1:35" ht="18.75" x14ac:dyDescent="0.45">
      <c r="A35" s="251" t="s">
        <v>203</v>
      </c>
      <c r="B35" s="428" t="s">
        <v>231</v>
      </c>
      <c r="C35" s="252" t="s">
        <v>232</v>
      </c>
      <c r="D35" s="506">
        <v>5.5</v>
      </c>
      <c r="E35" s="253"/>
      <c r="F35" s="252"/>
      <c r="G35" s="254"/>
      <c r="H35" s="122"/>
      <c r="I35" s="251" t="s">
        <v>203</v>
      </c>
      <c r="J35" s="428" t="s">
        <v>231</v>
      </c>
      <c r="K35" s="252" t="s">
        <v>232</v>
      </c>
      <c r="L35" s="506">
        <v>5.5</v>
      </c>
      <c r="M35" s="253"/>
      <c r="N35" s="252"/>
      <c r="O35" s="254"/>
      <c r="P35" s="122"/>
      <c r="Q35" s="122"/>
      <c r="R35" s="122"/>
      <c r="S35" s="122"/>
      <c r="Z35" s="122"/>
      <c r="AA35" s="122"/>
      <c r="AB35" s="122"/>
      <c r="AC35" s="122"/>
      <c r="AD35" s="122"/>
      <c r="AE35" s="123"/>
      <c r="AF35" s="123"/>
      <c r="AG35" s="123"/>
      <c r="AH35" s="123"/>
      <c r="AI35" s="123"/>
    </row>
    <row r="36" spans="1:35" ht="18.75" x14ac:dyDescent="0.45">
      <c r="A36" s="255" t="s">
        <v>233</v>
      </c>
      <c r="B36" s="429"/>
      <c r="C36" s="256" t="s">
        <v>234</v>
      </c>
      <c r="D36" s="507">
        <v>5</v>
      </c>
      <c r="E36" s="231"/>
      <c r="F36" s="257"/>
      <c r="G36" s="258"/>
      <c r="H36" s="122"/>
      <c r="I36" s="255" t="s">
        <v>233</v>
      </c>
      <c r="J36" s="429"/>
      <c r="K36" s="256" t="s">
        <v>234</v>
      </c>
      <c r="L36" s="507">
        <v>5</v>
      </c>
      <c r="M36" s="508"/>
      <c r="N36" s="257"/>
      <c r="O36" s="258"/>
      <c r="P36" s="122"/>
      <c r="Q36" s="122"/>
      <c r="R36" s="122"/>
      <c r="S36" s="122"/>
      <c r="Z36" s="122"/>
      <c r="AA36" s="122"/>
      <c r="AB36" s="122"/>
      <c r="AC36" s="122"/>
      <c r="AD36" s="122"/>
      <c r="AE36" s="123"/>
      <c r="AF36" s="123"/>
      <c r="AG36" s="123"/>
      <c r="AH36" s="123"/>
      <c r="AI36" s="123"/>
    </row>
    <row r="37" spans="1:35" ht="23.25" thickBot="1" x14ac:dyDescent="0.5">
      <c r="A37" s="259" t="s">
        <v>207</v>
      </c>
      <c r="B37" s="430"/>
      <c r="C37" s="260" t="s">
        <v>235</v>
      </c>
      <c r="D37" s="509">
        <v>4.5</v>
      </c>
      <c r="E37" s="261"/>
      <c r="F37" s="262"/>
      <c r="G37" s="263"/>
      <c r="H37" s="122"/>
      <c r="I37" s="259" t="s">
        <v>207</v>
      </c>
      <c r="J37" s="430"/>
      <c r="K37" s="260" t="s">
        <v>235</v>
      </c>
      <c r="L37" s="509">
        <v>4.5</v>
      </c>
      <c r="M37" s="510" t="s">
        <v>372</v>
      </c>
      <c r="N37" s="262"/>
      <c r="O37" s="263"/>
      <c r="P37" s="122"/>
      <c r="Q37" s="122"/>
      <c r="R37" s="122"/>
      <c r="S37" s="122"/>
      <c r="T37" s="122"/>
      <c r="U37" s="122"/>
      <c r="V37" s="122"/>
      <c r="W37" s="122"/>
      <c r="X37" s="122"/>
      <c r="Y37" s="122"/>
      <c r="Z37" s="122"/>
      <c r="AA37" s="122"/>
      <c r="AB37" s="122"/>
      <c r="AC37" s="122"/>
      <c r="AD37" s="122"/>
      <c r="AE37" s="123"/>
      <c r="AF37" s="123"/>
      <c r="AG37" s="123"/>
      <c r="AH37" s="123"/>
      <c r="AI37" s="123"/>
    </row>
    <row r="38" spans="1:35" ht="18.75" x14ac:dyDescent="0.45">
      <c r="A38" s="251" t="s">
        <v>236</v>
      </c>
      <c r="B38" s="431" t="s">
        <v>202</v>
      </c>
      <c r="C38" s="264" t="s">
        <v>208</v>
      </c>
      <c r="D38" s="511">
        <v>4</v>
      </c>
      <c r="E38" s="265"/>
      <c r="F38" s="266"/>
      <c r="G38" s="267"/>
      <c r="H38" s="122"/>
      <c r="I38" s="251" t="s">
        <v>236</v>
      </c>
      <c r="J38" s="431" t="s">
        <v>309</v>
      </c>
      <c r="K38" s="264" t="s">
        <v>310</v>
      </c>
      <c r="L38" s="511">
        <v>4</v>
      </c>
      <c r="M38" s="265"/>
      <c r="N38" s="266"/>
      <c r="O38" s="267"/>
      <c r="P38" s="122"/>
      <c r="Q38" s="122"/>
      <c r="R38" s="122"/>
      <c r="S38" s="122"/>
      <c r="T38" s="122"/>
      <c r="U38" s="122"/>
      <c r="V38" s="122"/>
      <c r="W38" s="122"/>
      <c r="X38" s="122"/>
      <c r="Y38" s="122"/>
      <c r="Z38" s="122"/>
      <c r="AA38" s="122"/>
      <c r="AB38" s="122"/>
      <c r="AC38" s="122"/>
      <c r="AD38" s="122"/>
      <c r="AE38" s="123"/>
      <c r="AF38" s="123"/>
      <c r="AG38" s="123"/>
      <c r="AH38" s="123"/>
      <c r="AI38" s="123"/>
    </row>
    <row r="39" spans="1:35" ht="18.75" x14ac:dyDescent="0.45">
      <c r="A39" s="268" t="s">
        <v>311</v>
      </c>
      <c r="B39" s="432"/>
      <c r="C39" s="269" t="s">
        <v>312</v>
      </c>
      <c r="D39" s="512">
        <v>3.5</v>
      </c>
      <c r="E39" s="270"/>
      <c r="F39" s="271"/>
      <c r="G39" s="272"/>
      <c r="H39" s="122"/>
      <c r="I39" s="268" t="s">
        <v>237</v>
      </c>
      <c r="J39" s="432"/>
      <c r="K39" s="269" t="s">
        <v>238</v>
      </c>
      <c r="L39" s="512">
        <v>3.5</v>
      </c>
      <c r="M39" s="270"/>
      <c r="N39" s="271"/>
      <c r="O39" s="272"/>
      <c r="P39" s="122"/>
      <c r="Q39" s="122"/>
      <c r="R39" s="122"/>
      <c r="S39" s="122"/>
      <c r="T39" s="122"/>
      <c r="U39" s="122"/>
      <c r="V39" s="122"/>
      <c r="W39" s="122"/>
      <c r="X39" s="122"/>
      <c r="Y39" s="122"/>
      <c r="Z39" s="122"/>
      <c r="AA39" s="122"/>
      <c r="AB39" s="122"/>
      <c r="AC39" s="122"/>
      <c r="AD39" s="122"/>
      <c r="AE39" s="123"/>
      <c r="AF39" s="123"/>
      <c r="AG39" s="123"/>
      <c r="AH39" s="123"/>
      <c r="AI39" s="123"/>
    </row>
    <row r="40" spans="1:35" ht="23.25" thickBot="1" x14ac:dyDescent="0.5">
      <c r="A40" s="273" t="s">
        <v>210</v>
      </c>
      <c r="B40" s="433"/>
      <c r="C40" s="274" t="s">
        <v>239</v>
      </c>
      <c r="D40" s="509">
        <v>3</v>
      </c>
      <c r="E40" s="262" t="s">
        <v>386</v>
      </c>
      <c r="F40" s="262"/>
      <c r="G40" s="275"/>
      <c r="H40" s="122"/>
      <c r="I40" s="273" t="s">
        <v>210</v>
      </c>
      <c r="J40" s="433"/>
      <c r="K40" s="274" t="s">
        <v>313</v>
      </c>
      <c r="L40" s="509">
        <v>3</v>
      </c>
      <c r="M40" s="262"/>
      <c r="N40" s="262"/>
      <c r="O40" s="513" t="s">
        <v>378</v>
      </c>
      <c r="P40" s="122"/>
      <c r="Q40" s="122"/>
      <c r="R40" s="122"/>
      <c r="S40" s="122"/>
      <c r="T40" s="122"/>
      <c r="U40" s="122"/>
      <c r="V40" s="122"/>
      <c r="W40" s="122"/>
      <c r="X40" s="122"/>
      <c r="Y40" s="122"/>
      <c r="Z40" s="122"/>
      <c r="AA40" s="122"/>
      <c r="AB40" s="122"/>
      <c r="AC40" s="122"/>
      <c r="AD40" s="122"/>
      <c r="AE40" s="123"/>
      <c r="AF40" s="123"/>
      <c r="AG40" s="123"/>
      <c r="AH40" s="123"/>
      <c r="AI40" s="123"/>
    </row>
    <row r="41" spans="1:35" ht="22.5" x14ac:dyDescent="0.45">
      <c r="A41" s="276" t="s">
        <v>240</v>
      </c>
      <c r="B41" s="423" t="s">
        <v>241</v>
      </c>
      <c r="C41" s="277" t="s">
        <v>314</v>
      </c>
      <c r="D41" s="511">
        <v>2.75</v>
      </c>
      <c r="E41" s="278" t="s">
        <v>387</v>
      </c>
      <c r="F41" s="278" t="s">
        <v>389</v>
      </c>
      <c r="G41" s="279"/>
      <c r="H41" s="122"/>
      <c r="I41" s="276" t="s">
        <v>240</v>
      </c>
      <c r="J41" s="423" t="s">
        <v>241</v>
      </c>
      <c r="K41" s="277" t="s">
        <v>314</v>
      </c>
      <c r="L41" s="511">
        <v>2.75</v>
      </c>
      <c r="M41" s="278"/>
      <c r="N41" s="278"/>
      <c r="O41" s="279"/>
      <c r="P41" s="122"/>
      <c r="Q41" s="122"/>
      <c r="R41" s="122"/>
      <c r="S41" s="122"/>
      <c r="T41" s="122"/>
      <c r="U41" s="122"/>
      <c r="V41" s="122"/>
      <c r="W41" s="122"/>
      <c r="X41" s="122"/>
      <c r="Y41" s="122"/>
      <c r="Z41" s="122"/>
      <c r="AA41" s="122"/>
      <c r="AB41" s="122"/>
      <c r="AC41" s="122"/>
      <c r="AD41" s="122"/>
      <c r="AE41" s="123"/>
      <c r="AF41" s="123"/>
      <c r="AG41" s="123"/>
      <c r="AH41" s="123"/>
      <c r="AI41" s="123"/>
    </row>
    <row r="42" spans="1:35" ht="22.5" x14ac:dyDescent="0.45">
      <c r="A42" s="280" t="s">
        <v>242</v>
      </c>
      <c r="B42" s="424"/>
      <c r="C42" s="281" t="s">
        <v>315</v>
      </c>
      <c r="D42" s="512">
        <v>2.5</v>
      </c>
      <c r="E42" s="282" t="s">
        <v>388</v>
      </c>
      <c r="F42" s="270" t="s">
        <v>390</v>
      </c>
      <c r="G42" s="283" t="s">
        <v>388</v>
      </c>
      <c r="H42" s="122"/>
      <c r="I42" s="280" t="s">
        <v>242</v>
      </c>
      <c r="J42" s="424"/>
      <c r="K42" s="281" t="s">
        <v>243</v>
      </c>
      <c r="L42" s="512">
        <v>2.5</v>
      </c>
      <c r="M42" s="282" t="s">
        <v>374</v>
      </c>
      <c r="N42" s="270" t="s">
        <v>390</v>
      </c>
      <c r="O42" s="283" t="s">
        <v>388</v>
      </c>
      <c r="P42" s="122"/>
      <c r="Q42" s="122"/>
      <c r="R42" s="122"/>
      <c r="S42" s="122"/>
      <c r="T42" s="122"/>
      <c r="U42" s="122"/>
      <c r="V42" s="122"/>
      <c r="W42" s="122"/>
      <c r="X42" s="122"/>
      <c r="Y42" s="122"/>
      <c r="Z42" s="122"/>
      <c r="AA42" s="122"/>
      <c r="AB42" s="122"/>
      <c r="AC42" s="122"/>
      <c r="AD42" s="122"/>
      <c r="AE42" s="123"/>
      <c r="AF42" s="123"/>
      <c r="AG42" s="123"/>
      <c r="AH42" s="123"/>
      <c r="AI42" s="123"/>
    </row>
    <row r="43" spans="1:35" ht="22.5" x14ac:dyDescent="0.45">
      <c r="A43" s="280" t="s">
        <v>244</v>
      </c>
      <c r="B43" s="424"/>
      <c r="C43" s="292" t="s">
        <v>316</v>
      </c>
      <c r="D43" s="512">
        <v>2.25</v>
      </c>
      <c r="E43" s="270"/>
      <c r="F43" s="284" t="s">
        <v>382</v>
      </c>
      <c r="G43" s="283" t="s">
        <v>348</v>
      </c>
      <c r="H43" s="122"/>
      <c r="I43" s="280" t="s">
        <v>244</v>
      </c>
      <c r="J43" s="424"/>
      <c r="K43" s="292" t="s">
        <v>317</v>
      </c>
      <c r="L43" s="512">
        <v>2.25</v>
      </c>
      <c r="M43" s="270" t="s">
        <v>376</v>
      </c>
      <c r="N43" s="284" t="s">
        <v>378</v>
      </c>
      <c r="O43" s="283" t="s">
        <v>382</v>
      </c>
      <c r="P43" s="122"/>
      <c r="Q43" s="122"/>
      <c r="R43" s="122"/>
      <c r="S43" s="122"/>
      <c r="T43" s="122"/>
      <c r="U43" s="122"/>
      <c r="V43" s="122"/>
      <c r="W43" s="122"/>
      <c r="X43" s="122"/>
      <c r="Y43" s="122"/>
      <c r="Z43" s="122"/>
      <c r="AA43" s="122"/>
      <c r="AB43" s="122"/>
      <c r="AC43" s="122"/>
      <c r="AD43" s="122"/>
      <c r="AE43" s="123"/>
      <c r="AF43" s="123"/>
      <c r="AG43" s="123"/>
      <c r="AH43" s="123"/>
      <c r="AI43" s="123"/>
    </row>
    <row r="44" spans="1:35" ht="19.5" thickBot="1" x14ac:dyDescent="0.5">
      <c r="A44" s="259" t="s">
        <v>245</v>
      </c>
      <c r="B44" s="425"/>
      <c r="C44" s="514" t="s">
        <v>318</v>
      </c>
      <c r="D44" s="509">
        <v>2</v>
      </c>
      <c r="E44" s="285"/>
      <c r="F44" s="286"/>
      <c r="G44" s="275" t="s">
        <v>391</v>
      </c>
      <c r="H44" s="122"/>
      <c r="I44" s="259" t="s">
        <v>245</v>
      </c>
      <c r="J44" s="425"/>
      <c r="K44" s="514" t="s">
        <v>216</v>
      </c>
      <c r="L44" s="509">
        <v>2</v>
      </c>
      <c r="M44" s="285"/>
      <c r="N44" s="286"/>
      <c r="O44" s="275"/>
      <c r="P44" s="122"/>
      <c r="Q44" s="122"/>
      <c r="R44" s="122"/>
      <c r="S44" s="122"/>
      <c r="T44" s="122"/>
      <c r="U44" s="122"/>
      <c r="V44" s="122"/>
      <c r="W44" s="122"/>
      <c r="X44" s="122"/>
      <c r="Y44" s="122"/>
      <c r="Z44" s="122"/>
      <c r="AA44" s="122"/>
      <c r="AB44" s="122"/>
      <c r="AC44" s="122"/>
      <c r="AD44" s="122"/>
      <c r="AE44" s="123"/>
      <c r="AF44" s="123"/>
      <c r="AG44" s="123"/>
      <c r="AH44" s="123"/>
      <c r="AI44" s="123"/>
    </row>
    <row r="45" spans="1:35" ht="18.75" x14ac:dyDescent="0.45">
      <c r="A45" s="255" t="s">
        <v>246</v>
      </c>
      <c r="B45" s="426" t="s">
        <v>247</v>
      </c>
      <c r="C45" s="515"/>
      <c r="D45" s="507">
        <v>1.75</v>
      </c>
      <c r="E45" s="287"/>
      <c r="F45" s="288"/>
      <c r="G45" s="258"/>
      <c r="H45" s="122"/>
      <c r="I45" s="255" t="s">
        <v>246</v>
      </c>
      <c r="J45" s="426" t="s">
        <v>247</v>
      </c>
      <c r="K45" s="515"/>
      <c r="L45" s="507">
        <v>1.75</v>
      </c>
      <c r="M45" s="287"/>
      <c r="N45" s="288"/>
      <c r="O45" s="258"/>
      <c r="P45" s="122"/>
      <c r="Q45" s="122"/>
      <c r="R45" s="122"/>
      <c r="S45" s="122"/>
      <c r="T45" s="122"/>
      <c r="U45" s="122"/>
      <c r="V45" s="122"/>
      <c r="W45" s="122"/>
      <c r="X45" s="122"/>
      <c r="Y45" s="122"/>
      <c r="Z45" s="122"/>
      <c r="AA45" s="122"/>
      <c r="AB45" s="122"/>
      <c r="AC45" s="122"/>
      <c r="AD45" s="122"/>
      <c r="AE45" s="123"/>
      <c r="AF45" s="123"/>
      <c r="AG45" s="123"/>
      <c r="AH45" s="123"/>
      <c r="AI45" s="123"/>
    </row>
    <row r="46" spans="1:35" ht="19.5" thickBot="1" x14ac:dyDescent="0.5">
      <c r="A46" s="259" t="s">
        <v>248</v>
      </c>
      <c r="B46" s="427"/>
      <c r="C46" s="516"/>
      <c r="D46" s="509">
        <v>1.5</v>
      </c>
      <c r="E46" s="289"/>
      <c r="F46" s="290"/>
      <c r="G46" s="291"/>
      <c r="H46" s="122"/>
      <c r="I46" s="259" t="s">
        <v>248</v>
      </c>
      <c r="J46" s="427"/>
      <c r="K46" s="516"/>
      <c r="L46" s="509">
        <v>1.5</v>
      </c>
      <c r="M46" s="289"/>
      <c r="N46" s="290"/>
      <c r="O46" s="291"/>
      <c r="P46" s="122"/>
      <c r="Q46" s="122"/>
      <c r="R46" s="122"/>
      <c r="S46" s="122"/>
      <c r="T46" s="122"/>
      <c r="U46" s="122"/>
      <c r="V46" s="122"/>
      <c r="W46" s="122"/>
      <c r="X46" s="122"/>
      <c r="Y46" s="122"/>
      <c r="Z46" s="122"/>
      <c r="AA46" s="122"/>
      <c r="AB46" s="122"/>
      <c r="AC46" s="122"/>
      <c r="AD46" s="122"/>
      <c r="AE46" s="123"/>
      <c r="AF46" s="123"/>
      <c r="AG46" s="123"/>
      <c r="AH46" s="123"/>
      <c r="AI46" s="123"/>
    </row>
    <row r="47" spans="1:35" ht="18.75" x14ac:dyDescent="0.45">
      <c r="A47" s="122"/>
      <c r="B47" s="122"/>
      <c r="C47" s="122"/>
      <c r="D47" s="122"/>
      <c r="E47" s="122"/>
      <c r="F47" s="122"/>
      <c r="G47" s="122"/>
      <c r="H47" s="122"/>
      <c r="I47" s="122"/>
      <c r="J47" s="122"/>
      <c r="K47" s="241"/>
      <c r="L47" s="122"/>
      <c r="M47" s="122"/>
      <c r="N47" s="122"/>
      <c r="O47" s="122"/>
      <c r="P47" s="122"/>
      <c r="Q47" s="122"/>
      <c r="R47" s="122"/>
      <c r="S47" s="122"/>
      <c r="T47" s="122"/>
      <c r="U47" s="122"/>
      <c r="V47" s="122"/>
      <c r="W47" s="122"/>
      <c r="X47" s="122"/>
      <c r="Y47" s="122"/>
      <c r="Z47" s="122"/>
      <c r="AA47" s="122"/>
      <c r="AB47" s="122"/>
      <c r="AC47" s="122"/>
      <c r="AD47" s="122"/>
      <c r="AE47" s="123"/>
      <c r="AF47" s="123"/>
      <c r="AG47" s="123"/>
      <c r="AH47" s="123"/>
      <c r="AI47" s="123"/>
    </row>
    <row r="48" spans="1:35" ht="18.75" x14ac:dyDescent="0.45">
      <c r="A48" s="122"/>
      <c r="B48" s="122"/>
      <c r="C48" s="122"/>
      <c r="D48" s="122"/>
      <c r="E48" s="122"/>
      <c r="F48" s="122"/>
      <c r="G48" s="122"/>
      <c r="H48" s="122"/>
      <c r="I48" s="122"/>
      <c r="J48" s="122"/>
      <c r="K48" s="241"/>
      <c r="L48" s="122"/>
      <c r="M48" s="122"/>
      <c r="N48" s="122"/>
      <c r="O48" s="122"/>
      <c r="P48" s="122"/>
      <c r="Q48" s="122"/>
      <c r="R48" s="122"/>
      <c r="S48" s="122"/>
      <c r="T48" s="122"/>
      <c r="U48" s="122"/>
      <c r="V48" s="122"/>
      <c r="W48" s="122"/>
      <c r="X48" s="122"/>
      <c r="Y48" s="122"/>
      <c r="Z48" s="122"/>
      <c r="AA48" s="122"/>
      <c r="AB48" s="122"/>
      <c r="AC48" s="122"/>
      <c r="AD48" s="122"/>
      <c r="AE48" s="123"/>
      <c r="AF48" s="123"/>
      <c r="AG48" s="123"/>
      <c r="AH48" s="123"/>
      <c r="AI48" s="123"/>
    </row>
    <row r="49" spans="1:35" ht="18.75" x14ac:dyDescent="0.45">
      <c r="A49" s="122"/>
      <c r="B49" s="122"/>
      <c r="C49" s="122"/>
      <c r="D49" s="122"/>
      <c r="E49" s="122"/>
      <c r="F49" s="122"/>
      <c r="G49" s="122"/>
      <c r="H49" s="122"/>
      <c r="I49" s="122"/>
      <c r="J49" s="122"/>
      <c r="K49" s="241"/>
      <c r="L49" s="122"/>
      <c r="M49" s="122"/>
      <c r="N49" s="122"/>
      <c r="O49" s="122"/>
      <c r="P49" s="122"/>
      <c r="Q49" s="122"/>
      <c r="R49" s="122"/>
      <c r="S49" s="122"/>
      <c r="T49" s="122"/>
      <c r="U49" s="122"/>
      <c r="V49" s="122"/>
      <c r="W49" s="122"/>
      <c r="X49" s="122"/>
      <c r="Y49" s="122"/>
      <c r="Z49" s="122"/>
      <c r="AA49" s="122"/>
      <c r="AB49" s="122"/>
      <c r="AC49" s="122"/>
      <c r="AD49" s="122"/>
      <c r="AE49" s="123"/>
      <c r="AF49" s="123"/>
      <c r="AG49" s="123"/>
      <c r="AH49" s="123"/>
      <c r="AI49" s="123"/>
    </row>
    <row r="50" spans="1:35" ht="18.75" x14ac:dyDescent="0.45">
      <c r="A50" s="122"/>
      <c r="B50" s="122"/>
      <c r="C50" s="122"/>
      <c r="D50" s="122"/>
      <c r="E50" s="122"/>
      <c r="F50" s="122"/>
      <c r="G50" s="122"/>
      <c r="H50" s="122"/>
      <c r="I50" s="122"/>
      <c r="J50" s="122"/>
      <c r="K50" s="241"/>
      <c r="L50" s="122"/>
      <c r="M50" s="122"/>
      <c r="N50" s="122"/>
      <c r="O50" s="122"/>
      <c r="P50" s="122"/>
      <c r="Q50" s="122"/>
      <c r="R50" s="122"/>
      <c r="S50" s="122"/>
      <c r="T50" s="122"/>
      <c r="U50" s="122"/>
      <c r="V50" s="122"/>
      <c r="W50" s="122"/>
      <c r="X50" s="122"/>
      <c r="Y50" s="122"/>
      <c r="Z50" s="122"/>
      <c r="AA50" s="122"/>
      <c r="AB50" s="122"/>
      <c r="AC50" s="122"/>
      <c r="AD50" s="122"/>
      <c r="AE50" s="123"/>
      <c r="AF50" s="123"/>
      <c r="AG50" s="123"/>
      <c r="AH50" s="123"/>
      <c r="AI50" s="123"/>
    </row>
    <row r="51" spans="1:35" ht="18.75" x14ac:dyDescent="0.45">
      <c r="A51" s="122"/>
      <c r="B51" s="122"/>
      <c r="C51" s="122"/>
      <c r="D51" s="122"/>
      <c r="E51" s="122"/>
      <c r="F51" s="122"/>
      <c r="G51" s="122"/>
      <c r="H51" s="122"/>
      <c r="I51" s="122"/>
      <c r="J51" s="122"/>
      <c r="K51" s="241"/>
      <c r="L51" s="122"/>
      <c r="M51" s="122"/>
      <c r="N51" s="122"/>
      <c r="O51" s="122"/>
      <c r="P51" s="122"/>
      <c r="Q51" s="122"/>
      <c r="R51" s="122"/>
      <c r="S51" s="122"/>
      <c r="T51" s="122"/>
      <c r="U51" s="122"/>
      <c r="V51" s="122"/>
      <c r="W51" s="122"/>
      <c r="X51" s="122"/>
      <c r="Y51" s="122"/>
      <c r="Z51" s="122"/>
      <c r="AA51" s="122"/>
      <c r="AB51" s="122"/>
      <c r="AC51" s="122"/>
      <c r="AD51" s="122"/>
      <c r="AE51" s="123"/>
      <c r="AF51" s="123"/>
      <c r="AG51" s="123"/>
      <c r="AH51" s="123"/>
      <c r="AI51" s="123"/>
    </row>
    <row r="52" spans="1:35" ht="18.75" x14ac:dyDescent="0.45">
      <c r="A52" s="122"/>
      <c r="B52" s="122"/>
      <c r="C52" s="122"/>
      <c r="D52" s="122"/>
      <c r="E52" s="122"/>
      <c r="F52" s="122"/>
      <c r="G52" s="122"/>
      <c r="H52" s="122"/>
      <c r="I52" s="122"/>
      <c r="J52" s="122"/>
      <c r="K52" s="241"/>
      <c r="L52" s="122"/>
      <c r="M52" s="122"/>
      <c r="N52" s="122"/>
      <c r="O52" s="122"/>
      <c r="P52" s="122"/>
      <c r="Q52" s="122"/>
      <c r="R52" s="122"/>
      <c r="S52" s="122"/>
      <c r="T52" s="122"/>
      <c r="U52" s="122"/>
      <c r="V52" s="122"/>
      <c r="W52" s="122"/>
      <c r="X52" s="122"/>
      <c r="Y52" s="122"/>
      <c r="Z52" s="122"/>
      <c r="AA52" s="122"/>
      <c r="AB52" s="122"/>
      <c r="AC52" s="122"/>
      <c r="AD52" s="122"/>
      <c r="AE52" s="123"/>
      <c r="AF52" s="123"/>
      <c r="AG52" s="123"/>
      <c r="AH52" s="123"/>
      <c r="AI52" s="123"/>
    </row>
    <row r="53" spans="1:35" ht="18.75" x14ac:dyDescent="0.45">
      <c r="A53" s="122"/>
      <c r="B53" s="122"/>
      <c r="C53" s="122"/>
      <c r="D53" s="122"/>
      <c r="E53" s="122"/>
      <c r="F53" s="122"/>
      <c r="G53" s="122"/>
      <c r="H53" s="122"/>
      <c r="I53" s="122"/>
      <c r="J53" s="122"/>
      <c r="K53" s="241"/>
      <c r="L53" s="122"/>
      <c r="M53" s="122"/>
      <c r="N53" s="122"/>
      <c r="O53" s="122"/>
      <c r="P53" s="122"/>
      <c r="Q53" s="122"/>
      <c r="R53" s="122"/>
      <c r="S53" s="122"/>
      <c r="T53" s="122"/>
      <c r="U53" s="122"/>
      <c r="V53" s="122"/>
      <c r="W53" s="122"/>
      <c r="X53" s="122"/>
      <c r="Y53" s="122"/>
      <c r="Z53" s="122"/>
      <c r="AA53" s="122"/>
      <c r="AB53" s="122"/>
      <c r="AC53" s="122"/>
      <c r="AD53" s="122"/>
      <c r="AE53" s="123"/>
      <c r="AF53" s="123"/>
      <c r="AG53" s="123"/>
      <c r="AH53" s="123"/>
      <c r="AI53" s="123"/>
    </row>
    <row r="54" spans="1:35" ht="18.75" x14ac:dyDescent="0.45">
      <c r="A54" s="122"/>
      <c r="B54" s="122"/>
      <c r="C54" s="122"/>
      <c r="D54" s="122"/>
      <c r="E54" s="122"/>
      <c r="F54" s="122"/>
      <c r="G54" s="122"/>
      <c r="H54" s="122"/>
      <c r="I54" s="122"/>
      <c r="J54" s="122"/>
      <c r="K54" s="241"/>
      <c r="L54" s="122"/>
      <c r="M54" s="122"/>
      <c r="N54" s="122"/>
      <c r="O54" s="122"/>
      <c r="P54" s="122"/>
      <c r="Q54" s="122"/>
      <c r="R54" s="122"/>
      <c r="S54" s="122"/>
      <c r="T54" s="122"/>
      <c r="U54" s="122"/>
      <c r="V54" s="122"/>
      <c r="W54" s="122"/>
      <c r="X54" s="122"/>
      <c r="Y54" s="122"/>
      <c r="Z54" s="122"/>
      <c r="AA54" s="122"/>
      <c r="AB54" s="122"/>
      <c r="AC54" s="122"/>
      <c r="AD54" s="122"/>
      <c r="AE54" s="123"/>
      <c r="AF54" s="123"/>
      <c r="AG54" s="123"/>
      <c r="AH54" s="123"/>
      <c r="AI54" s="123"/>
    </row>
    <row r="55" spans="1:35" ht="18.75" x14ac:dyDescent="0.45">
      <c r="A55" s="122"/>
      <c r="B55" s="122"/>
      <c r="C55" s="122"/>
      <c r="D55" s="122"/>
      <c r="E55" s="122"/>
      <c r="F55" s="122"/>
      <c r="G55" s="122"/>
      <c r="H55" s="122"/>
      <c r="I55" s="122"/>
      <c r="J55" s="122"/>
      <c r="K55" s="241"/>
      <c r="L55" s="122"/>
      <c r="M55" s="122"/>
      <c r="N55" s="122"/>
      <c r="O55" s="122"/>
      <c r="P55" s="122"/>
      <c r="Q55" s="122"/>
      <c r="R55" s="122"/>
      <c r="S55" s="122"/>
      <c r="T55" s="122"/>
      <c r="U55" s="122"/>
      <c r="V55" s="122"/>
      <c r="W55" s="122"/>
      <c r="X55" s="122"/>
      <c r="Y55" s="122"/>
      <c r="Z55" s="122"/>
      <c r="AA55" s="122"/>
      <c r="AB55" s="122"/>
      <c r="AC55" s="122"/>
      <c r="AD55" s="122"/>
      <c r="AE55" s="123"/>
      <c r="AF55" s="123"/>
      <c r="AG55" s="123"/>
      <c r="AH55" s="123"/>
      <c r="AI55" s="123"/>
    </row>
    <row r="56" spans="1:35" ht="18.75" x14ac:dyDescent="0.45">
      <c r="A56" s="122"/>
      <c r="B56" s="122"/>
      <c r="C56" s="122"/>
      <c r="D56" s="122"/>
      <c r="E56" s="122"/>
      <c r="F56" s="122"/>
      <c r="G56" s="122"/>
      <c r="H56" s="122"/>
      <c r="I56" s="122"/>
      <c r="J56" s="122"/>
      <c r="K56" s="241"/>
      <c r="L56" s="122"/>
      <c r="M56" s="122"/>
      <c r="N56" s="122"/>
      <c r="O56" s="122"/>
      <c r="P56" s="122"/>
      <c r="Q56" s="122"/>
      <c r="R56" s="122"/>
      <c r="S56" s="122"/>
      <c r="T56" s="122"/>
      <c r="U56" s="122"/>
      <c r="V56" s="122"/>
      <c r="W56" s="122"/>
      <c r="X56" s="122"/>
      <c r="Y56" s="122"/>
      <c r="Z56" s="122"/>
      <c r="AA56" s="122"/>
      <c r="AB56" s="122"/>
      <c r="AC56" s="122"/>
      <c r="AD56" s="122"/>
      <c r="AE56" s="123"/>
      <c r="AF56" s="123"/>
      <c r="AG56" s="123"/>
      <c r="AH56" s="123"/>
      <c r="AI56" s="123"/>
    </row>
    <row r="57" spans="1:35" ht="18.75" x14ac:dyDescent="0.45">
      <c r="A57" s="293"/>
      <c r="B57" s="293"/>
      <c r="C57" s="293"/>
      <c r="D57" s="293"/>
      <c r="E57" s="293"/>
      <c r="F57" s="293"/>
      <c r="G57" s="293"/>
      <c r="H57" s="122"/>
      <c r="I57" s="122"/>
      <c r="J57" s="122"/>
      <c r="K57" s="122"/>
      <c r="L57" s="122"/>
      <c r="M57" s="122"/>
      <c r="N57" s="123"/>
      <c r="O57" s="123"/>
      <c r="P57" s="123"/>
      <c r="Q57" s="123"/>
      <c r="R57" s="123"/>
      <c r="S57" s="123"/>
      <c r="T57" s="123"/>
      <c r="U57" s="123"/>
      <c r="V57" s="123"/>
      <c r="W57" s="122"/>
      <c r="X57" s="123"/>
      <c r="Y57" s="122"/>
      <c r="Z57" s="122"/>
      <c r="AA57" s="122"/>
      <c r="AB57" s="122"/>
      <c r="AC57" s="122"/>
      <c r="AD57" s="122"/>
      <c r="AE57" s="122"/>
      <c r="AF57" s="123"/>
      <c r="AG57" s="123"/>
      <c r="AH57" s="123"/>
      <c r="AI57" s="123"/>
    </row>
    <row r="58" spans="1:35" ht="18.75" x14ac:dyDescent="0.45">
      <c r="A58" s="294"/>
      <c r="B58" s="294"/>
      <c r="C58" s="294"/>
      <c r="D58" s="294"/>
      <c r="E58" s="294"/>
      <c r="F58" s="294"/>
      <c r="G58" s="294"/>
      <c r="H58" s="122"/>
      <c r="I58" s="122"/>
      <c r="J58" s="122"/>
      <c r="K58" s="122"/>
      <c r="L58" s="122"/>
      <c r="M58" s="122"/>
      <c r="N58" s="123"/>
      <c r="O58" s="123"/>
      <c r="P58" s="123"/>
      <c r="Q58" s="123"/>
      <c r="R58" s="123"/>
      <c r="S58" s="123"/>
      <c r="T58" s="123"/>
      <c r="U58" s="123"/>
      <c r="V58" s="123"/>
      <c r="W58" s="122"/>
      <c r="X58" s="123"/>
      <c r="Y58" s="122"/>
      <c r="Z58" s="122"/>
      <c r="AA58" s="122"/>
      <c r="AB58" s="122"/>
      <c r="AC58" s="122"/>
      <c r="AD58" s="122"/>
      <c r="AE58" s="122"/>
      <c r="AF58" s="123"/>
      <c r="AG58" s="123"/>
      <c r="AH58" s="123"/>
      <c r="AI58" s="123"/>
    </row>
    <row r="59" spans="1:35" ht="18.75" x14ac:dyDescent="0.45">
      <c r="A59" s="122"/>
      <c r="B59" s="122"/>
      <c r="C59" s="122"/>
      <c r="D59" s="122"/>
      <c r="E59" s="122"/>
      <c r="F59" s="122"/>
      <c r="G59" s="122"/>
      <c r="H59" s="122"/>
      <c r="I59" s="122"/>
      <c r="J59" s="122"/>
      <c r="K59" s="122"/>
      <c r="L59" s="122"/>
      <c r="M59" s="122"/>
      <c r="N59" s="123"/>
      <c r="O59" s="123"/>
      <c r="P59" s="123"/>
      <c r="Q59" s="123"/>
      <c r="R59" s="123"/>
      <c r="S59" s="123"/>
      <c r="T59" s="123"/>
      <c r="U59" s="123"/>
      <c r="V59" s="123"/>
      <c r="W59" s="122"/>
      <c r="X59" s="123"/>
      <c r="Y59" s="122"/>
      <c r="Z59" s="122"/>
      <c r="AA59" s="122"/>
      <c r="AB59" s="122"/>
      <c r="AC59" s="122"/>
      <c r="AD59" s="122"/>
      <c r="AE59" s="122"/>
      <c r="AF59" s="123"/>
      <c r="AG59" s="123"/>
      <c r="AH59" s="123"/>
      <c r="AI59" s="123"/>
    </row>
    <row r="60" spans="1:35" ht="18.75" x14ac:dyDescent="0.45">
      <c r="A60" s="122"/>
      <c r="B60" s="122"/>
      <c r="C60" s="122"/>
      <c r="D60" s="122"/>
      <c r="E60" s="122"/>
      <c r="F60" s="122"/>
      <c r="G60" s="122"/>
      <c r="H60" s="122"/>
      <c r="I60" s="122"/>
      <c r="J60" s="122"/>
      <c r="K60" s="122"/>
      <c r="L60" s="122"/>
      <c r="M60" s="122"/>
      <c r="N60" s="123"/>
      <c r="O60" s="123"/>
      <c r="P60" s="123"/>
      <c r="Q60" s="123"/>
      <c r="R60" s="123"/>
      <c r="S60" s="123"/>
      <c r="T60" s="123"/>
      <c r="U60" s="123"/>
      <c r="V60" s="123"/>
      <c r="W60" s="122"/>
      <c r="X60" s="123"/>
      <c r="Y60" s="122"/>
      <c r="Z60" s="122"/>
      <c r="AA60" s="122"/>
      <c r="AB60" s="122"/>
      <c r="AC60" s="122"/>
      <c r="AD60" s="122"/>
      <c r="AE60" s="122"/>
      <c r="AF60" s="123"/>
      <c r="AG60" s="123"/>
      <c r="AH60" s="123"/>
      <c r="AI60" s="123"/>
    </row>
    <row r="61" spans="1:35" ht="18.75" x14ac:dyDescent="0.45">
      <c r="A61" s="122"/>
      <c r="B61" s="122"/>
      <c r="C61" s="122"/>
      <c r="D61" s="122"/>
      <c r="E61" s="122"/>
      <c r="F61" s="122"/>
      <c r="G61" s="122"/>
      <c r="H61" s="122"/>
      <c r="I61" s="122"/>
      <c r="J61" s="122"/>
      <c r="K61" s="122"/>
      <c r="L61" s="122"/>
      <c r="M61" s="122"/>
      <c r="N61" s="123"/>
      <c r="O61" s="123"/>
      <c r="P61" s="123"/>
      <c r="Q61" s="123"/>
      <c r="R61" s="123"/>
      <c r="S61" s="123"/>
      <c r="T61" s="123"/>
      <c r="U61" s="123"/>
      <c r="V61" s="123"/>
      <c r="W61" s="122"/>
      <c r="X61" s="123"/>
      <c r="Y61" s="122"/>
      <c r="Z61" s="122"/>
      <c r="AA61" s="122"/>
      <c r="AB61" s="122"/>
      <c r="AC61" s="122"/>
      <c r="AD61" s="122"/>
      <c r="AE61" s="122"/>
      <c r="AF61" s="123"/>
      <c r="AG61" s="123"/>
      <c r="AH61" s="123"/>
      <c r="AI61" s="123"/>
    </row>
    <row r="62" spans="1:35" ht="18.75" x14ac:dyDescent="0.45">
      <c r="A62" s="122"/>
      <c r="B62" s="122"/>
      <c r="C62" s="122"/>
      <c r="D62" s="122"/>
      <c r="E62" s="122"/>
      <c r="F62" s="122"/>
      <c r="G62" s="122"/>
      <c r="H62" s="122"/>
      <c r="I62" s="122"/>
      <c r="J62" s="122"/>
      <c r="K62" s="122"/>
      <c r="L62" s="122"/>
      <c r="M62" s="122"/>
      <c r="N62" s="123"/>
      <c r="O62" s="123"/>
      <c r="P62" s="123"/>
      <c r="Q62" s="123"/>
      <c r="R62" s="123"/>
      <c r="S62" s="123"/>
      <c r="T62" s="123"/>
      <c r="U62" s="123"/>
      <c r="V62" s="123"/>
      <c r="W62" s="122"/>
      <c r="X62" s="123"/>
      <c r="Y62" s="122"/>
      <c r="Z62" s="122"/>
      <c r="AA62" s="122"/>
      <c r="AB62" s="122"/>
      <c r="AC62" s="122"/>
      <c r="AD62" s="122"/>
      <c r="AE62" s="122"/>
      <c r="AF62" s="123"/>
      <c r="AG62" s="123"/>
      <c r="AH62" s="123"/>
      <c r="AI62" s="123"/>
    </row>
    <row r="63" spans="1:35" ht="18.75" x14ac:dyDescent="0.45">
      <c r="A63" s="122"/>
      <c r="B63" s="122"/>
      <c r="C63" s="122"/>
      <c r="D63" s="122"/>
      <c r="E63" s="122"/>
      <c r="F63" s="122"/>
      <c r="G63" s="122"/>
      <c r="H63" s="122"/>
      <c r="I63" s="122"/>
      <c r="J63" s="122"/>
      <c r="K63" s="122"/>
      <c r="L63" s="122"/>
      <c r="M63" s="122"/>
      <c r="N63" s="123"/>
      <c r="O63" s="123"/>
      <c r="P63" s="123"/>
      <c r="Q63" s="123"/>
      <c r="R63" s="123"/>
      <c r="S63" s="123"/>
      <c r="T63" s="123"/>
      <c r="U63" s="123"/>
      <c r="V63" s="123"/>
      <c r="W63" s="122"/>
      <c r="X63" s="123"/>
      <c r="Y63" s="122"/>
      <c r="Z63" s="122"/>
      <c r="AA63" s="122"/>
      <c r="AB63" s="122"/>
      <c r="AC63" s="122"/>
      <c r="AD63" s="122"/>
      <c r="AE63" s="122"/>
      <c r="AF63" s="123"/>
      <c r="AG63" s="123"/>
      <c r="AH63" s="123"/>
      <c r="AI63" s="123"/>
    </row>
    <row r="64" spans="1:35" ht="18.75" x14ac:dyDescent="0.45">
      <c r="A64" s="122"/>
      <c r="B64" s="122"/>
      <c r="C64" s="122"/>
      <c r="D64" s="122"/>
      <c r="E64" s="122"/>
      <c r="F64" s="122"/>
      <c r="G64" s="122"/>
      <c r="H64" s="122"/>
      <c r="I64" s="122"/>
      <c r="J64" s="122"/>
      <c r="K64" s="122"/>
      <c r="L64" s="122"/>
      <c r="M64" s="122"/>
      <c r="N64" s="123"/>
      <c r="O64" s="123"/>
      <c r="P64" s="123"/>
      <c r="Q64" s="123"/>
      <c r="R64" s="123"/>
      <c r="S64" s="123"/>
      <c r="T64" s="123"/>
      <c r="U64" s="123"/>
      <c r="V64" s="123"/>
      <c r="W64" s="122"/>
      <c r="X64" s="123"/>
      <c r="Y64" s="122"/>
      <c r="Z64" s="122"/>
      <c r="AA64" s="122"/>
      <c r="AB64" s="122"/>
      <c r="AC64" s="122"/>
      <c r="AD64" s="122"/>
      <c r="AE64" s="122"/>
      <c r="AF64" s="123"/>
      <c r="AG64" s="123"/>
      <c r="AH64" s="123"/>
      <c r="AI64" s="123"/>
    </row>
    <row r="65" spans="1:35" ht="18.75" x14ac:dyDescent="0.45">
      <c r="A65" s="122"/>
      <c r="B65" s="122"/>
      <c r="C65" s="122"/>
      <c r="D65" s="122"/>
      <c r="E65" s="122"/>
      <c r="F65" s="122"/>
      <c r="G65" s="122"/>
      <c r="H65" s="122"/>
      <c r="I65" s="122"/>
      <c r="J65" s="122"/>
      <c r="K65" s="122"/>
      <c r="L65" s="122"/>
      <c r="M65" s="122"/>
      <c r="N65" s="123"/>
      <c r="O65" s="123"/>
      <c r="P65" s="123"/>
      <c r="Q65" s="123"/>
      <c r="R65" s="123"/>
      <c r="S65" s="123"/>
      <c r="T65" s="123"/>
      <c r="U65" s="123"/>
      <c r="V65" s="123"/>
      <c r="W65" s="122"/>
      <c r="X65" s="123"/>
      <c r="Y65" s="122"/>
      <c r="Z65" s="122"/>
      <c r="AA65" s="122"/>
      <c r="AB65" s="122"/>
      <c r="AC65" s="122"/>
      <c r="AD65" s="122"/>
      <c r="AE65" s="122"/>
      <c r="AF65" s="123"/>
      <c r="AG65" s="123"/>
      <c r="AH65" s="123"/>
      <c r="AI65" s="123"/>
    </row>
    <row r="66" spans="1:35" ht="18.75" x14ac:dyDescent="0.45">
      <c r="A66" s="122"/>
      <c r="B66" s="122"/>
      <c r="C66" s="122"/>
      <c r="D66" s="122"/>
      <c r="E66" s="122"/>
      <c r="F66" s="122"/>
      <c r="G66" s="122"/>
      <c r="H66" s="122"/>
      <c r="I66" s="122"/>
      <c r="J66" s="122"/>
      <c r="K66" s="122"/>
      <c r="L66" s="122"/>
      <c r="M66" s="122"/>
      <c r="N66" s="123"/>
      <c r="O66" s="123"/>
      <c r="P66" s="123"/>
      <c r="Q66" s="123"/>
      <c r="R66" s="123"/>
      <c r="S66" s="123"/>
      <c r="T66" s="123"/>
      <c r="U66" s="123"/>
      <c r="V66" s="123"/>
      <c r="W66" s="122"/>
      <c r="X66" s="123"/>
      <c r="Y66" s="122"/>
      <c r="Z66" s="122"/>
      <c r="AA66" s="122"/>
      <c r="AB66" s="122"/>
      <c r="AC66" s="122"/>
      <c r="AD66" s="122"/>
      <c r="AE66" s="122"/>
      <c r="AF66" s="123"/>
      <c r="AG66" s="123"/>
      <c r="AH66" s="123"/>
      <c r="AI66" s="123"/>
    </row>
    <row r="67" spans="1:35" ht="18.75" x14ac:dyDescent="0.45">
      <c r="A67" s="122"/>
      <c r="B67" s="122"/>
      <c r="C67" s="122"/>
      <c r="D67" s="122"/>
      <c r="E67" s="122"/>
      <c r="F67" s="122"/>
      <c r="G67" s="122"/>
      <c r="H67" s="122"/>
      <c r="I67" s="122"/>
      <c r="J67" s="122"/>
      <c r="K67" s="122"/>
      <c r="L67" s="122"/>
      <c r="M67" s="122"/>
      <c r="N67" s="123"/>
      <c r="O67" s="123"/>
      <c r="P67" s="123"/>
      <c r="Q67" s="123"/>
      <c r="R67" s="123"/>
      <c r="S67" s="123"/>
      <c r="T67" s="123"/>
      <c r="U67" s="123"/>
      <c r="V67" s="123"/>
      <c r="W67" s="122"/>
      <c r="X67" s="123"/>
      <c r="Y67" s="122"/>
      <c r="Z67" s="122"/>
      <c r="AA67" s="122"/>
      <c r="AB67" s="122"/>
      <c r="AC67" s="122"/>
      <c r="AD67" s="122"/>
      <c r="AE67" s="122"/>
      <c r="AF67" s="123"/>
      <c r="AG67" s="123"/>
      <c r="AH67" s="123"/>
      <c r="AI67" s="123"/>
    </row>
    <row r="68" spans="1:35" ht="18.75" x14ac:dyDescent="0.45">
      <c r="A68" s="122"/>
      <c r="B68" s="122"/>
      <c r="C68" s="122"/>
      <c r="D68" s="122"/>
      <c r="E68" s="122"/>
      <c r="F68" s="122"/>
      <c r="G68" s="122"/>
      <c r="H68" s="122"/>
      <c r="I68" s="122"/>
      <c r="J68" s="122"/>
      <c r="K68" s="122"/>
      <c r="L68" s="122"/>
      <c r="M68" s="122"/>
      <c r="N68" s="123"/>
      <c r="O68" s="123"/>
      <c r="P68" s="123"/>
      <c r="Q68" s="123"/>
      <c r="R68" s="123"/>
      <c r="S68" s="123"/>
      <c r="T68" s="123"/>
      <c r="U68" s="123"/>
      <c r="V68" s="123"/>
      <c r="W68" s="122"/>
      <c r="X68" s="123"/>
      <c r="Y68" s="122"/>
      <c r="Z68" s="122"/>
      <c r="AA68" s="122"/>
      <c r="AB68" s="122"/>
      <c r="AC68" s="122"/>
      <c r="AD68" s="122"/>
      <c r="AE68" s="122"/>
      <c r="AF68" s="123"/>
      <c r="AG68" s="123"/>
      <c r="AH68" s="123"/>
      <c r="AI68" s="123"/>
    </row>
    <row r="69" spans="1:35" ht="18.75" x14ac:dyDescent="0.45">
      <c r="A69" s="122"/>
      <c r="B69" s="122"/>
      <c r="C69" s="122"/>
      <c r="D69" s="122"/>
      <c r="E69" s="122"/>
      <c r="F69" s="122"/>
      <c r="G69" s="122"/>
      <c r="H69" s="122"/>
      <c r="I69" s="122"/>
      <c r="J69" s="122"/>
      <c r="K69" s="122"/>
      <c r="L69" s="122"/>
      <c r="M69" s="122"/>
      <c r="N69" s="123"/>
      <c r="O69" s="123"/>
      <c r="P69" s="123"/>
      <c r="Q69" s="123"/>
      <c r="R69" s="123"/>
      <c r="S69" s="123"/>
      <c r="T69" s="123"/>
      <c r="U69" s="123"/>
      <c r="V69" s="123"/>
      <c r="W69" s="122"/>
      <c r="X69" s="123"/>
      <c r="Y69" s="122"/>
      <c r="Z69" s="122"/>
      <c r="AA69" s="122"/>
      <c r="AB69" s="122"/>
      <c r="AC69" s="122"/>
      <c r="AD69" s="122"/>
      <c r="AE69" s="122"/>
      <c r="AF69" s="123"/>
      <c r="AG69" s="123"/>
      <c r="AH69" s="123"/>
      <c r="AI69" s="123"/>
    </row>
    <row r="70" spans="1:35" ht="18.75" x14ac:dyDescent="0.45">
      <c r="A70" s="122"/>
      <c r="B70" s="122"/>
      <c r="C70" s="122"/>
      <c r="D70" s="122"/>
      <c r="E70" s="122"/>
      <c r="F70" s="122"/>
      <c r="G70" s="122"/>
      <c r="H70" s="122"/>
      <c r="I70" s="122"/>
      <c r="J70" s="122"/>
      <c r="K70" s="122"/>
      <c r="L70" s="122"/>
      <c r="M70" s="122"/>
      <c r="N70" s="123"/>
      <c r="O70" s="123"/>
      <c r="P70" s="123"/>
      <c r="Q70" s="123"/>
      <c r="R70" s="123"/>
      <c r="S70" s="123"/>
      <c r="T70" s="123"/>
      <c r="U70" s="123"/>
      <c r="V70" s="123"/>
      <c r="W70" s="122"/>
      <c r="X70" s="123"/>
      <c r="Y70" s="122"/>
      <c r="Z70" s="122"/>
      <c r="AA70" s="122"/>
      <c r="AB70" s="122"/>
      <c r="AC70" s="122"/>
      <c r="AD70" s="122"/>
      <c r="AE70" s="122"/>
      <c r="AF70" s="123"/>
      <c r="AG70" s="123"/>
      <c r="AH70" s="123"/>
      <c r="AI70" s="123"/>
    </row>
    <row r="71" spans="1:35" ht="18.75" x14ac:dyDescent="0.45">
      <c r="A71" s="122"/>
      <c r="B71" s="122"/>
      <c r="C71" s="122"/>
      <c r="D71" s="122"/>
      <c r="E71" s="122"/>
      <c r="F71" s="122"/>
      <c r="G71" s="122"/>
      <c r="H71" s="122"/>
      <c r="I71" s="122"/>
      <c r="J71" s="122"/>
      <c r="K71" s="122"/>
      <c r="L71" s="122"/>
      <c r="M71" s="122"/>
      <c r="N71" s="123"/>
      <c r="O71" s="123"/>
      <c r="P71" s="123"/>
      <c r="Q71" s="123"/>
      <c r="R71" s="123"/>
      <c r="S71" s="123"/>
      <c r="T71" s="123"/>
      <c r="U71" s="123"/>
      <c r="V71" s="123"/>
      <c r="W71" s="122"/>
      <c r="X71" s="123"/>
      <c r="Y71" s="122"/>
      <c r="Z71" s="122"/>
      <c r="AA71" s="122"/>
      <c r="AB71" s="122"/>
      <c r="AC71" s="122"/>
      <c r="AD71" s="122"/>
      <c r="AE71" s="122"/>
      <c r="AF71" s="123"/>
      <c r="AG71" s="123"/>
      <c r="AH71" s="123"/>
      <c r="AI71" s="123"/>
    </row>
    <row r="72" spans="1:35" ht="18.75" x14ac:dyDescent="0.45">
      <c r="A72" s="122"/>
      <c r="B72" s="122"/>
      <c r="C72" s="122"/>
      <c r="D72" s="122"/>
      <c r="E72" s="122"/>
      <c r="F72" s="122"/>
      <c r="G72" s="122"/>
      <c r="H72" s="122"/>
      <c r="I72" s="122"/>
      <c r="J72" s="122"/>
      <c r="K72" s="122"/>
      <c r="L72" s="122"/>
      <c r="M72" s="122"/>
      <c r="N72" s="122"/>
      <c r="O72" s="122"/>
      <c r="P72" s="122"/>
      <c r="Q72" s="122"/>
      <c r="R72" s="122"/>
      <c r="S72" s="122"/>
      <c r="T72" s="122"/>
      <c r="U72" s="122"/>
      <c r="V72" s="122"/>
      <c r="W72" s="122"/>
      <c r="X72" s="122"/>
      <c r="Y72" s="122"/>
      <c r="Z72" s="122"/>
      <c r="AA72" s="122"/>
      <c r="AB72" s="122"/>
      <c r="AC72" s="122"/>
      <c r="AD72" s="122"/>
      <c r="AE72" s="123"/>
      <c r="AF72" s="123"/>
      <c r="AG72" s="123"/>
      <c r="AH72" s="123"/>
      <c r="AI72" s="123"/>
    </row>
    <row r="73" spans="1:35" ht="18.75" x14ac:dyDescent="0.45">
      <c r="A73" s="122"/>
      <c r="B73" s="122"/>
      <c r="C73" s="122"/>
      <c r="D73" s="122"/>
      <c r="E73" s="122"/>
      <c r="F73" s="122"/>
      <c r="G73" s="122"/>
      <c r="H73" s="122"/>
      <c r="I73" s="122"/>
      <c r="J73" s="122"/>
      <c r="K73" s="122"/>
      <c r="L73" s="122"/>
      <c r="M73" s="122"/>
      <c r="N73" s="122"/>
      <c r="O73" s="122"/>
      <c r="P73" s="122"/>
      <c r="Q73" s="122"/>
      <c r="R73" s="122"/>
      <c r="S73" s="122"/>
      <c r="T73" s="122"/>
      <c r="U73" s="122"/>
      <c r="V73" s="122"/>
      <c r="W73" s="122"/>
      <c r="X73" s="122"/>
      <c r="Y73" s="122"/>
      <c r="Z73" s="122"/>
      <c r="AA73" s="122"/>
      <c r="AB73" s="122"/>
      <c r="AC73" s="122"/>
      <c r="AD73" s="122"/>
      <c r="AE73" s="123"/>
      <c r="AF73" s="123"/>
      <c r="AG73" s="123"/>
      <c r="AH73" s="123"/>
      <c r="AI73" s="123"/>
    </row>
    <row r="74" spans="1:35" ht="18.75" x14ac:dyDescent="0.45">
      <c r="A74" s="122"/>
      <c r="B74" s="122"/>
      <c r="C74" s="122"/>
      <c r="D74" s="122"/>
      <c r="E74" s="122"/>
      <c r="F74" s="122"/>
      <c r="G74" s="122"/>
      <c r="H74" s="122"/>
      <c r="I74" s="122"/>
      <c r="J74" s="122"/>
      <c r="K74" s="122"/>
      <c r="L74" s="122"/>
      <c r="M74" s="122"/>
      <c r="N74" s="122"/>
      <c r="O74" s="122"/>
      <c r="P74" s="122"/>
      <c r="Q74" s="122"/>
      <c r="R74" s="122"/>
      <c r="S74" s="122"/>
      <c r="T74" s="122"/>
      <c r="U74" s="122"/>
      <c r="V74" s="122"/>
      <c r="W74" s="122"/>
      <c r="X74" s="122"/>
      <c r="Y74" s="122"/>
      <c r="Z74" s="122"/>
      <c r="AA74" s="122"/>
      <c r="AB74" s="122"/>
      <c r="AC74" s="122"/>
      <c r="AD74" s="122"/>
      <c r="AE74" s="123"/>
      <c r="AF74" s="123"/>
      <c r="AG74" s="123"/>
      <c r="AH74" s="123"/>
      <c r="AI74" s="123"/>
    </row>
    <row r="75" spans="1:35" ht="18.75" x14ac:dyDescent="0.45">
      <c r="A75" s="122"/>
      <c r="B75" s="122"/>
      <c r="C75" s="122"/>
      <c r="D75" s="122"/>
      <c r="E75" s="122"/>
      <c r="F75" s="122"/>
      <c r="G75" s="122"/>
      <c r="H75" s="122"/>
      <c r="I75" s="122"/>
      <c r="J75" s="122"/>
      <c r="K75" s="122"/>
      <c r="L75" s="122"/>
      <c r="M75" s="122"/>
      <c r="N75" s="122"/>
      <c r="O75" s="122"/>
      <c r="P75" s="122"/>
      <c r="Q75" s="122"/>
      <c r="R75" s="122"/>
      <c r="S75" s="122"/>
      <c r="T75" s="122"/>
      <c r="U75" s="122"/>
      <c r="V75" s="122"/>
      <c r="W75" s="122"/>
      <c r="X75" s="122"/>
      <c r="Y75" s="122"/>
      <c r="Z75" s="122"/>
      <c r="AA75" s="122"/>
      <c r="AB75" s="122"/>
      <c r="AC75" s="122"/>
      <c r="AD75" s="122"/>
      <c r="AE75" s="123"/>
      <c r="AF75" s="123"/>
      <c r="AG75" s="123"/>
      <c r="AH75" s="123"/>
      <c r="AI75" s="123"/>
    </row>
    <row r="76" spans="1:35" ht="18.75" x14ac:dyDescent="0.45">
      <c r="A76" s="295"/>
      <c r="B76" s="122"/>
      <c r="C76" s="122"/>
      <c r="D76" s="122"/>
      <c r="E76" s="122"/>
      <c r="F76" s="122"/>
      <c r="G76" s="122"/>
      <c r="H76" s="122"/>
      <c r="I76" s="122"/>
      <c r="J76" s="122"/>
      <c r="K76" s="122"/>
      <c r="L76" s="122"/>
      <c r="M76" s="122"/>
      <c r="N76" s="122"/>
      <c r="O76" s="122"/>
      <c r="P76" s="122"/>
      <c r="Q76" s="122"/>
      <c r="R76" s="122"/>
      <c r="S76" s="122"/>
      <c r="T76" s="122"/>
      <c r="U76" s="122"/>
      <c r="V76" s="122"/>
      <c r="W76" s="122"/>
      <c r="X76" s="122"/>
      <c r="Y76" s="122"/>
      <c r="Z76" s="122"/>
      <c r="AA76" s="122"/>
      <c r="AB76" s="122"/>
      <c r="AC76" s="122"/>
      <c r="AD76" s="122"/>
      <c r="AE76" s="123"/>
      <c r="AF76" s="123"/>
      <c r="AG76" s="123"/>
      <c r="AH76" s="123"/>
      <c r="AI76" s="123"/>
    </row>
    <row r="77" spans="1:35" ht="18.75" x14ac:dyDescent="0.45">
      <c r="A77" s="122"/>
      <c r="B77" s="122"/>
      <c r="C77" s="122"/>
      <c r="D77" s="122"/>
      <c r="E77" s="122"/>
      <c r="F77" s="122"/>
      <c r="G77" s="122"/>
      <c r="H77" s="122"/>
      <c r="I77" s="122"/>
      <c r="J77" s="122"/>
      <c r="K77" s="122"/>
      <c r="L77" s="122"/>
      <c r="M77" s="122"/>
      <c r="N77" s="122"/>
      <c r="O77" s="122"/>
      <c r="P77" s="122"/>
      <c r="Q77" s="122"/>
      <c r="R77" s="122"/>
      <c r="S77" s="122"/>
      <c r="T77" s="122"/>
      <c r="U77" s="122"/>
      <c r="V77" s="122"/>
      <c r="W77" s="122"/>
      <c r="X77" s="122"/>
      <c r="Y77" s="122"/>
      <c r="Z77" s="122"/>
      <c r="AA77" s="122"/>
      <c r="AB77" s="122"/>
      <c r="AC77" s="122"/>
      <c r="AD77" s="122"/>
      <c r="AE77" s="123"/>
      <c r="AF77" s="123"/>
      <c r="AG77" s="123"/>
      <c r="AH77" s="123"/>
      <c r="AI77" s="123"/>
    </row>
    <row r="78" spans="1:35" ht="18.75" x14ac:dyDescent="0.45">
      <c r="A78" s="122"/>
      <c r="B78" s="122"/>
      <c r="C78" s="122"/>
      <c r="D78" s="122"/>
      <c r="E78" s="122"/>
      <c r="F78" s="122"/>
      <c r="G78" s="122"/>
      <c r="H78" s="122"/>
      <c r="I78" s="122"/>
      <c r="J78" s="122"/>
      <c r="K78" s="122"/>
      <c r="L78" s="122"/>
      <c r="M78" s="122"/>
      <c r="N78" s="122"/>
      <c r="O78" s="122"/>
      <c r="P78" s="122"/>
      <c r="Q78" s="122"/>
      <c r="R78" s="122"/>
      <c r="S78" s="122"/>
      <c r="T78" s="122"/>
      <c r="U78" s="122"/>
      <c r="V78" s="122"/>
      <c r="W78" s="122"/>
      <c r="X78" s="122"/>
      <c r="Y78" s="122"/>
      <c r="Z78" s="122"/>
      <c r="AA78" s="122"/>
      <c r="AB78" s="122"/>
      <c r="AC78" s="122"/>
      <c r="AD78" s="122"/>
      <c r="AE78" s="123"/>
      <c r="AF78" s="123"/>
      <c r="AG78" s="123"/>
      <c r="AH78" s="123"/>
      <c r="AI78" s="123"/>
    </row>
    <row r="79" spans="1:35" ht="18.75" x14ac:dyDescent="0.45">
      <c r="A79" s="122"/>
      <c r="B79" s="122"/>
      <c r="C79" s="122"/>
      <c r="D79" s="122"/>
      <c r="E79" s="122"/>
      <c r="F79" s="122"/>
      <c r="G79" s="122"/>
      <c r="H79" s="122"/>
      <c r="I79" s="122"/>
      <c r="J79" s="122"/>
      <c r="K79" s="122"/>
      <c r="L79" s="122"/>
      <c r="M79" s="122"/>
      <c r="N79" s="122"/>
      <c r="O79" s="122"/>
      <c r="P79" s="122"/>
      <c r="Q79" s="122"/>
      <c r="R79" s="122"/>
      <c r="S79" s="122"/>
      <c r="T79" s="122"/>
      <c r="U79" s="122"/>
      <c r="V79" s="122"/>
      <c r="W79" s="122"/>
      <c r="X79" s="122"/>
      <c r="Y79" s="122"/>
      <c r="Z79" s="122"/>
      <c r="AA79" s="122"/>
      <c r="AB79" s="122"/>
      <c r="AC79" s="122"/>
      <c r="AD79" s="122"/>
      <c r="AE79" s="123"/>
      <c r="AF79" s="123"/>
      <c r="AG79" s="123"/>
      <c r="AH79" s="123"/>
      <c r="AI79" s="123"/>
    </row>
    <row r="80" spans="1:35" ht="18.75" x14ac:dyDescent="0.45">
      <c r="A80" s="122"/>
      <c r="B80" s="122"/>
      <c r="C80" s="122"/>
      <c r="D80" s="122"/>
      <c r="E80" s="122"/>
      <c r="F80" s="122"/>
      <c r="G80" s="122"/>
      <c r="H80" s="122"/>
      <c r="I80" s="122"/>
      <c r="J80" s="122"/>
      <c r="K80" s="122"/>
      <c r="L80" s="122"/>
      <c r="M80" s="122"/>
      <c r="N80" s="122"/>
      <c r="O80" s="122"/>
      <c r="P80" s="122"/>
      <c r="Q80" s="122"/>
      <c r="R80" s="122"/>
      <c r="S80" s="122"/>
      <c r="T80" s="122"/>
      <c r="U80" s="122"/>
      <c r="V80" s="122"/>
      <c r="W80" s="122"/>
      <c r="X80" s="122"/>
      <c r="Y80" s="122"/>
      <c r="Z80" s="122"/>
      <c r="AA80" s="122"/>
      <c r="AB80" s="122"/>
      <c r="AC80" s="122"/>
      <c r="AD80" s="122"/>
      <c r="AE80" s="123"/>
      <c r="AF80" s="123"/>
      <c r="AG80" s="123"/>
      <c r="AH80" s="123"/>
      <c r="AI80" s="123"/>
    </row>
    <row r="81" spans="1:35" ht="18.75" x14ac:dyDescent="0.45">
      <c r="A81" s="122"/>
      <c r="B81" s="122"/>
      <c r="C81" s="122"/>
      <c r="D81" s="122"/>
      <c r="E81" s="122"/>
      <c r="F81" s="122"/>
      <c r="G81" s="122"/>
      <c r="H81" s="122"/>
      <c r="I81" s="122"/>
      <c r="J81" s="122"/>
      <c r="K81" s="122"/>
      <c r="L81" s="122"/>
      <c r="M81" s="122"/>
      <c r="N81" s="122"/>
      <c r="O81" s="122"/>
      <c r="P81" s="122"/>
      <c r="Q81" s="122"/>
      <c r="R81" s="122"/>
      <c r="S81" s="122"/>
      <c r="T81" s="122"/>
      <c r="U81" s="122"/>
      <c r="V81" s="122"/>
      <c r="W81" s="122"/>
      <c r="X81" s="122"/>
      <c r="Y81" s="122"/>
      <c r="Z81" s="122"/>
      <c r="AA81" s="122"/>
      <c r="AB81" s="122"/>
      <c r="AC81" s="122"/>
      <c r="AD81" s="122"/>
      <c r="AE81" s="123"/>
      <c r="AF81" s="123"/>
      <c r="AG81" s="123"/>
      <c r="AH81" s="123"/>
      <c r="AI81" s="123"/>
    </row>
    <row r="82" spans="1:35" ht="18.75" x14ac:dyDescent="0.45">
      <c r="A82" s="122"/>
      <c r="B82" s="122"/>
      <c r="C82" s="122"/>
      <c r="D82" s="122"/>
      <c r="E82" s="122"/>
      <c r="F82" s="122"/>
      <c r="G82" s="122"/>
      <c r="H82" s="122"/>
      <c r="I82" s="122"/>
      <c r="J82" s="122"/>
      <c r="K82" s="122"/>
      <c r="L82" s="122"/>
      <c r="M82" s="122"/>
      <c r="N82" s="122"/>
      <c r="O82" s="122"/>
      <c r="P82" s="122"/>
      <c r="Q82" s="122"/>
      <c r="R82" s="122"/>
      <c r="S82" s="122"/>
      <c r="T82" s="122"/>
      <c r="U82" s="122"/>
      <c r="V82" s="122"/>
      <c r="W82" s="122"/>
      <c r="X82" s="122"/>
      <c r="Y82" s="122"/>
      <c r="Z82" s="122"/>
      <c r="AA82" s="122"/>
      <c r="AB82" s="122"/>
      <c r="AC82" s="122"/>
      <c r="AD82" s="122"/>
      <c r="AE82" s="123"/>
      <c r="AF82" s="123"/>
      <c r="AG82" s="123"/>
      <c r="AH82" s="123"/>
      <c r="AI82" s="123"/>
    </row>
    <row r="83" spans="1:35" ht="18.75" x14ac:dyDescent="0.45">
      <c r="A83" s="122"/>
      <c r="B83" s="122"/>
      <c r="C83" s="122"/>
      <c r="D83" s="122"/>
      <c r="E83" s="122"/>
      <c r="F83" s="122"/>
      <c r="G83" s="122"/>
      <c r="H83" s="122"/>
      <c r="I83" s="122"/>
      <c r="J83" s="122"/>
      <c r="K83" s="122"/>
      <c r="L83" s="122"/>
      <c r="M83" s="122"/>
      <c r="N83" s="122"/>
      <c r="O83" s="122"/>
      <c r="P83" s="122"/>
      <c r="Q83" s="122"/>
      <c r="R83" s="122"/>
      <c r="S83" s="122"/>
      <c r="T83" s="122"/>
      <c r="U83" s="122"/>
      <c r="V83" s="122"/>
      <c r="W83" s="122"/>
      <c r="X83" s="122"/>
      <c r="Y83" s="122"/>
      <c r="Z83" s="122"/>
      <c r="AA83" s="122"/>
      <c r="AB83" s="122"/>
      <c r="AC83" s="122"/>
      <c r="AD83" s="122"/>
      <c r="AE83" s="123"/>
      <c r="AF83" s="123"/>
      <c r="AG83" s="123"/>
      <c r="AH83" s="123"/>
      <c r="AI83" s="123"/>
    </row>
    <row r="84" spans="1:35" ht="18.75" x14ac:dyDescent="0.45">
      <c r="A84" s="122"/>
      <c r="B84" s="122"/>
      <c r="C84" s="122"/>
      <c r="D84" s="122"/>
      <c r="E84" s="122"/>
      <c r="F84" s="122"/>
      <c r="G84" s="122"/>
      <c r="H84" s="122"/>
      <c r="I84" s="122"/>
      <c r="J84" s="122"/>
      <c r="K84" s="122"/>
      <c r="L84" s="122"/>
      <c r="M84" s="122"/>
      <c r="N84" s="122"/>
      <c r="O84" s="122"/>
      <c r="P84" s="122"/>
      <c r="Q84" s="122"/>
      <c r="R84" s="122"/>
      <c r="S84" s="122"/>
      <c r="T84" s="122"/>
      <c r="U84" s="122"/>
      <c r="V84" s="122"/>
      <c r="W84" s="122"/>
      <c r="X84" s="122"/>
      <c r="Y84" s="122"/>
      <c r="Z84" s="122"/>
      <c r="AA84" s="122"/>
      <c r="AB84" s="122"/>
      <c r="AC84" s="122"/>
      <c r="AD84" s="122"/>
      <c r="AE84" s="123"/>
      <c r="AF84" s="123"/>
      <c r="AG84" s="123"/>
      <c r="AH84" s="123"/>
      <c r="AI84" s="123"/>
    </row>
    <row r="85" spans="1:35" ht="18.75" x14ac:dyDescent="0.45">
      <c r="A85" s="122"/>
      <c r="B85" s="122"/>
      <c r="C85" s="122"/>
      <c r="D85" s="122"/>
      <c r="E85" s="122"/>
      <c r="F85" s="122"/>
      <c r="G85" s="122"/>
      <c r="H85" s="122"/>
      <c r="I85" s="122"/>
      <c r="J85" s="122"/>
      <c r="K85" s="122"/>
      <c r="L85" s="122"/>
      <c r="M85" s="122"/>
      <c r="N85" s="122"/>
      <c r="O85" s="122"/>
      <c r="P85" s="122"/>
      <c r="Q85" s="122"/>
      <c r="R85" s="122"/>
      <c r="S85" s="122"/>
      <c r="T85" s="122"/>
      <c r="U85" s="122"/>
      <c r="V85" s="122"/>
      <c r="W85" s="122"/>
      <c r="X85" s="122"/>
      <c r="Y85" s="122"/>
      <c r="Z85" s="122"/>
      <c r="AA85" s="122"/>
      <c r="AB85" s="122"/>
      <c r="AC85" s="122"/>
      <c r="AD85" s="122"/>
      <c r="AE85" s="123"/>
      <c r="AF85" s="123"/>
      <c r="AG85" s="123"/>
      <c r="AH85" s="123"/>
      <c r="AI85" s="123"/>
    </row>
    <row r="86" spans="1:35" ht="18.75" x14ac:dyDescent="0.45">
      <c r="A86" s="122"/>
      <c r="B86" s="122"/>
      <c r="C86" s="122"/>
      <c r="D86" s="122"/>
      <c r="E86" s="122"/>
      <c r="F86" s="122"/>
      <c r="G86" s="122"/>
      <c r="H86" s="122"/>
      <c r="I86" s="122"/>
      <c r="J86" s="122"/>
      <c r="K86" s="122"/>
      <c r="L86" s="122"/>
      <c r="M86" s="122"/>
      <c r="N86" s="122"/>
      <c r="O86" s="122"/>
      <c r="P86" s="122"/>
      <c r="Q86" s="122"/>
      <c r="R86" s="122"/>
      <c r="S86" s="122"/>
      <c r="T86" s="122"/>
      <c r="U86" s="122"/>
      <c r="V86" s="122"/>
      <c r="W86" s="122"/>
      <c r="X86" s="122"/>
      <c r="Y86" s="122"/>
      <c r="Z86" s="122"/>
      <c r="AA86" s="122"/>
      <c r="AB86" s="122"/>
      <c r="AC86" s="122"/>
      <c r="AD86" s="122"/>
      <c r="AE86" s="123"/>
      <c r="AF86" s="123"/>
      <c r="AG86" s="123"/>
      <c r="AH86" s="123"/>
      <c r="AI86" s="123"/>
    </row>
    <row r="87" spans="1:35" ht="18.75" x14ac:dyDescent="0.45">
      <c r="A87" s="122"/>
      <c r="B87" s="122"/>
      <c r="C87" s="122"/>
      <c r="D87" s="122"/>
      <c r="E87" s="122"/>
      <c r="F87" s="122"/>
      <c r="G87" s="122"/>
      <c r="H87" s="122"/>
      <c r="I87" s="122"/>
      <c r="J87" s="122"/>
      <c r="K87" s="122"/>
      <c r="L87" s="122"/>
      <c r="M87" s="122"/>
      <c r="N87" s="122"/>
      <c r="O87" s="122"/>
      <c r="P87" s="122"/>
      <c r="Q87" s="122"/>
      <c r="R87" s="122"/>
      <c r="S87" s="122"/>
      <c r="T87" s="122"/>
      <c r="U87" s="122"/>
      <c r="V87" s="122"/>
      <c r="W87" s="122"/>
      <c r="X87" s="122"/>
      <c r="Y87" s="122"/>
      <c r="Z87" s="122"/>
      <c r="AA87" s="122"/>
      <c r="AB87" s="122"/>
      <c r="AC87" s="122"/>
      <c r="AD87" s="122"/>
      <c r="AE87" s="123"/>
      <c r="AF87" s="123"/>
      <c r="AG87" s="123"/>
      <c r="AH87" s="123"/>
      <c r="AI87" s="123"/>
    </row>
    <row r="88" spans="1:35" ht="18.75" x14ac:dyDescent="0.45">
      <c r="A88" s="122"/>
      <c r="B88" s="122"/>
      <c r="C88" s="122"/>
      <c r="D88" s="122"/>
      <c r="E88" s="122"/>
      <c r="F88" s="122"/>
      <c r="G88" s="122"/>
      <c r="H88" s="122"/>
      <c r="I88" s="122"/>
      <c r="J88" s="122"/>
      <c r="K88" s="122"/>
      <c r="L88" s="122"/>
      <c r="M88" s="122"/>
      <c r="N88" s="122"/>
      <c r="O88" s="122"/>
      <c r="P88" s="122"/>
      <c r="Q88" s="122"/>
      <c r="R88" s="122"/>
      <c r="S88" s="122"/>
      <c r="T88" s="122"/>
      <c r="U88" s="122"/>
      <c r="V88" s="122"/>
      <c r="W88" s="122"/>
      <c r="X88" s="122"/>
      <c r="Y88" s="122"/>
      <c r="Z88" s="122"/>
      <c r="AA88" s="122"/>
      <c r="AB88" s="122"/>
      <c r="AC88" s="122"/>
      <c r="AD88" s="122"/>
      <c r="AE88" s="123"/>
      <c r="AF88" s="123"/>
      <c r="AG88" s="123"/>
      <c r="AH88" s="123"/>
      <c r="AI88" s="123"/>
    </row>
    <row r="89" spans="1:35" ht="18.75" x14ac:dyDescent="0.45">
      <c r="A89" s="122"/>
      <c r="B89" s="122"/>
      <c r="C89" s="122"/>
      <c r="D89" s="122"/>
      <c r="E89" s="122"/>
      <c r="F89" s="122"/>
      <c r="G89" s="122"/>
      <c r="H89" s="122"/>
      <c r="I89" s="122"/>
      <c r="J89" s="122"/>
      <c r="K89" s="122"/>
      <c r="L89" s="122"/>
      <c r="M89" s="122"/>
      <c r="N89" s="122"/>
      <c r="O89" s="122"/>
      <c r="P89" s="122"/>
      <c r="Q89" s="122"/>
      <c r="R89" s="122"/>
      <c r="S89" s="122"/>
      <c r="T89" s="122"/>
      <c r="U89" s="122"/>
      <c r="V89" s="122"/>
      <c r="W89" s="122"/>
      <c r="X89" s="122"/>
      <c r="Y89" s="122"/>
      <c r="Z89" s="122"/>
      <c r="AA89" s="122"/>
      <c r="AB89" s="122"/>
      <c r="AC89" s="122"/>
      <c r="AD89" s="122"/>
      <c r="AE89" s="123"/>
      <c r="AF89" s="123"/>
      <c r="AG89" s="123"/>
      <c r="AH89" s="123"/>
      <c r="AI89" s="123"/>
    </row>
    <row r="90" spans="1:35" ht="18.75" x14ac:dyDescent="0.45">
      <c r="A90" s="122"/>
      <c r="B90" s="122"/>
      <c r="C90" s="122"/>
      <c r="D90" s="122"/>
      <c r="E90" s="122"/>
      <c r="F90" s="122"/>
      <c r="G90" s="122"/>
      <c r="H90" s="122"/>
      <c r="I90" s="122"/>
      <c r="J90" s="122"/>
      <c r="K90" s="122"/>
      <c r="L90" s="122"/>
      <c r="M90" s="122"/>
      <c r="N90" s="122"/>
      <c r="O90" s="122"/>
      <c r="P90" s="122"/>
      <c r="Q90" s="122"/>
      <c r="R90" s="122"/>
      <c r="S90" s="122"/>
      <c r="T90" s="122"/>
      <c r="U90" s="122"/>
      <c r="V90" s="122"/>
      <c r="W90" s="122"/>
      <c r="X90" s="122"/>
      <c r="Y90" s="122"/>
      <c r="Z90" s="122"/>
      <c r="AA90" s="122"/>
      <c r="AB90" s="122"/>
      <c r="AC90" s="122"/>
      <c r="AD90" s="122"/>
      <c r="AE90" s="123"/>
      <c r="AF90" s="123"/>
      <c r="AG90" s="123"/>
      <c r="AH90" s="123"/>
      <c r="AI90" s="123"/>
    </row>
    <row r="91" spans="1:35" ht="18.75" x14ac:dyDescent="0.45">
      <c r="A91" s="122"/>
      <c r="B91" s="122"/>
      <c r="C91" s="122"/>
      <c r="D91" s="122"/>
      <c r="E91" s="122"/>
      <c r="F91" s="122"/>
      <c r="G91" s="122"/>
      <c r="H91" s="122"/>
      <c r="I91" s="122"/>
      <c r="J91" s="122"/>
      <c r="K91" s="122"/>
      <c r="L91" s="122"/>
      <c r="M91" s="122"/>
      <c r="N91" s="122"/>
      <c r="O91" s="122"/>
      <c r="P91" s="122"/>
      <c r="Q91" s="122"/>
      <c r="R91" s="122"/>
      <c r="S91" s="122"/>
      <c r="T91" s="122"/>
      <c r="U91" s="122"/>
      <c r="V91" s="122"/>
      <c r="W91" s="122"/>
      <c r="X91" s="122"/>
      <c r="Y91" s="122"/>
      <c r="Z91" s="122"/>
      <c r="AA91" s="122"/>
      <c r="AB91" s="122"/>
      <c r="AC91" s="122"/>
      <c r="AD91" s="122"/>
      <c r="AE91" s="123"/>
      <c r="AF91" s="123"/>
      <c r="AG91" s="123"/>
      <c r="AH91" s="123"/>
      <c r="AI91" s="123"/>
    </row>
    <row r="92" spans="1:35" ht="18.75" x14ac:dyDescent="0.45">
      <c r="A92" s="122"/>
      <c r="B92" s="122"/>
      <c r="C92" s="122"/>
      <c r="D92" s="122"/>
      <c r="E92" s="122"/>
      <c r="F92" s="122"/>
      <c r="G92" s="122"/>
      <c r="H92" s="122"/>
      <c r="I92" s="122"/>
      <c r="J92" s="122"/>
      <c r="K92" s="122"/>
      <c r="L92" s="122"/>
      <c r="M92" s="122"/>
      <c r="N92" s="122"/>
      <c r="O92" s="122"/>
      <c r="P92" s="122"/>
      <c r="Q92" s="122"/>
      <c r="R92" s="122"/>
      <c r="S92" s="122"/>
      <c r="T92" s="122"/>
      <c r="U92" s="122"/>
      <c r="V92" s="122"/>
      <c r="W92" s="122"/>
      <c r="X92" s="122"/>
      <c r="Y92" s="122"/>
      <c r="Z92" s="122"/>
      <c r="AA92" s="122"/>
      <c r="AB92" s="122"/>
      <c r="AC92" s="122"/>
      <c r="AD92" s="122"/>
      <c r="AE92" s="123"/>
      <c r="AF92" s="123"/>
      <c r="AG92" s="123"/>
      <c r="AH92" s="123"/>
      <c r="AI92" s="123"/>
    </row>
    <row r="93" spans="1:35" ht="18.75" x14ac:dyDescent="0.45">
      <c r="A93" s="122"/>
      <c r="B93" s="122"/>
      <c r="C93" s="122"/>
      <c r="D93" s="122"/>
      <c r="E93" s="122"/>
      <c r="F93" s="122"/>
      <c r="G93" s="122"/>
      <c r="H93" s="122"/>
      <c r="I93" s="122"/>
      <c r="J93" s="122"/>
      <c r="K93" s="122"/>
      <c r="L93" s="122"/>
      <c r="M93" s="122"/>
      <c r="N93" s="122"/>
      <c r="O93" s="122"/>
      <c r="P93" s="122"/>
      <c r="Q93" s="122"/>
      <c r="R93" s="122"/>
      <c r="S93" s="122"/>
      <c r="T93" s="122"/>
      <c r="U93" s="122"/>
      <c r="V93" s="122"/>
      <c r="W93" s="122"/>
      <c r="X93" s="122"/>
      <c r="Y93" s="122"/>
      <c r="Z93" s="122"/>
      <c r="AA93" s="122"/>
      <c r="AB93" s="122"/>
      <c r="AC93" s="122"/>
      <c r="AD93" s="122"/>
      <c r="AE93" s="123"/>
      <c r="AF93" s="123"/>
      <c r="AG93" s="123"/>
      <c r="AH93" s="123"/>
      <c r="AI93" s="123"/>
    </row>
    <row r="94" spans="1:35" ht="18.75" x14ac:dyDescent="0.45">
      <c r="A94" s="122"/>
      <c r="B94" s="122"/>
      <c r="C94" s="122"/>
      <c r="D94" s="122"/>
      <c r="E94" s="122"/>
      <c r="F94" s="122"/>
      <c r="G94" s="122"/>
      <c r="H94" s="122"/>
      <c r="I94" s="122"/>
      <c r="J94" s="122"/>
      <c r="K94" s="122"/>
      <c r="L94" s="122"/>
      <c r="M94" s="122"/>
      <c r="N94" s="122"/>
      <c r="O94" s="122"/>
      <c r="P94" s="122"/>
      <c r="Q94" s="122"/>
      <c r="R94" s="122"/>
      <c r="S94" s="122"/>
      <c r="T94" s="122"/>
      <c r="U94" s="122"/>
      <c r="V94" s="122"/>
      <c r="W94" s="122"/>
      <c r="X94" s="122"/>
      <c r="Y94" s="122"/>
      <c r="Z94" s="122"/>
      <c r="AA94" s="122"/>
      <c r="AB94" s="122"/>
      <c r="AC94" s="122"/>
      <c r="AD94" s="122"/>
      <c r="AE94" s="123"/>
      <c r="AF94" s="123"/>
      <c r="AG94" s="123"/>
      <c r="AH94" s="123"/>
      <c r="AI94" s="123"/>
    </row>
    <row r="95" spans="1:35" ht="18.75" x14ac:dyDescent="0.45">
      <c r="A95" s="122"/>
      <c r="B95" s="122"/>
      <c r="C95" s="122"/>
      <c r="D95" s="122"/>
      <c r="E95" s="122"/>
      <c r="F95" s="122"/>
      <c r="G95" s="122"/>
      <c r="H95" s="122"/>
      <c r="I95" s="122"/>
      <c r="J95" s="122"/>
      <c r="K95" s="122"/>
      <c r="L95" s="122"/>
      <c r="M95" s="122"/>
      <c r="N95" s="122"/>
      <c r="O95" s="122"/>
      <c r="P95" s="122"/>
      <c r="Q95" s="122"/>
      <c r="R95" s="122"/>
      <c r="S95" s="122"/>
      <c r="T95" s="122"/>
      <c r="U95" s="122"/>
      <c r="V95" s="122"/>
      <c r="W95" s="122"/>
      <c r="X95" s="122"/>
      <c r="Y95" s="122"/>
      <c r="Z95" s="122"/>
      <c r="AA95" s="122"/>
      <c r="AB95" s="122"/>
      <c r="AC95" s="122"/>
      <c r="AD95" s="122"/>
      <c r="AE95" s="123"/>
      <c r="AF95" s="123"/>
      <c r="AG95" s="123"/>
      <c r="AH95" s="123"/>
      <c r="AI95" s="123"/>
    </row>
    <row r="96" spans="1:35" ht="18.75" x14ac:dyDescent="0.45">
      <c r="A96" s="122"/>
      <c r="B96" s="122"/>
      <c r="C96" s="122"/>
      <c r="D96" s="122"/>
      <c r="E96" s="122"/>
      <c r="F96" s="122"/>
      <c r="G96" s="122"/>
      <c r="H96" s="122"/>
      <c r="I96" s="122"/>
      <c r="J96" s="122"/>
      <c r="K96" s="122"/>
      <c r="L96" s="122"/>
      <c r="M96" s="122"/>
      <c r="N96" s="122"/>
      <c r="O96" s="122"/>
      <c r="P96" s="122"/>
      <c r="Q96" s="122"/>
      <c r="R96" s="122"/>
      <c r="S96" s="122"/>
      <c r="T96" s="122"/>
      <c r="U96" s="122"/>
      <c r="V96" s="122"/>
      <c r="W96" s="122"/>
      <c r="X96" s="122"/>
      <c r="Y96" s="122"/>
      <c r="Z96" s="122"/>
      <c r="AA96" s="122"/>
      <c r="AB96" s="122"/>
      <c r="AC96" s="122"/>
      <c r="AD96" s="122"/>
      <c r="AE96" s="123"/>
      <c r="AF96" s="123"/>
      <c r="AG96" s="123"/>
      <c r="AH96" s="123"/>
      <c r="AI96" s="123"/>
    </row>
    <row r="97" spans="1:35" ht="18.75" x14ac:dyDescent="0.45">
      <c r="A97" s="122"/>
      <c r="B97" s="122"/>
      <c r="C97" s="122"/>
      <c r="D97" s="122"/>
      <c r="E97" s="122"/>
      <c r="F97" s="122"/>
      <c r="G97" s="122"/>
      <c r="H97" s="122"/>
      <c r="I97" s="122"/>
      <c r="J97" s="122"/>
      <c r="K97" s="122"/>
      <c r="L97" s="122"/>
      <c r="M97" s="122"/>
      <c r="N97" s="122"/>
      <c r="O97" s="122"/>
      <c r="P97" s="122"/>
      <c r="Q97" s="122"/>
      <c r="R97" s="122"/>
      <c r="S97" s="122"/>
      <c r="T97" s="122"/>
      <c r="U97" s="122"/>
      <c r="V97" s="122"/>
      <c r="W97" s="122"/>
      <c r="X97" s="122"/>
      <c r="Y97" s="122"/>
      <c r="Z97" s="122"/>
      <c r="AA97" s="122"/>
      <c r="AB97" s="122"/>
      <c r="AC97" s="122"/>
      <c r="AD97" s="122"/>
      <c r="AE97" s="123"/>
      <c r="AF97" s="123"/>
      <c r="AG97" s="123"/>
      <c r="AH97" s="123"/>
      <c r="AI97" s="123"/>
    </row>
    <row r="98" spans="1:35" ht="18.75" x14ac:dyDescent="0.45">
      <c r="A98" s="122"/>
      <c r="B98" s="122"/>
      <c r="C98" s="122"/>
      <c r="D98" s="122"/>
      <c r="E98" s="122"/>
      <c r="F98" s="122"/>
      <c r="G98" s="122"/>
      <c r="H98" s="122"/>
      <c r="I98" s="122"/>
      <c r="J98" s="122"/>
      <c r="K98" s="122"/>
      <c r="L98" s="122"/>
      <c r="M98" s="122"/>
      <c r="N98" s="122"/>
      <c r="O98" s="122"/>
      <c r="P98" s="122"/>
      <c r="Q98" s="122"/>
      <c r="R98" s="122"/>
      <c r="S98" s="122"/>
      <c r="T98" s="122"/>
      <c r="U98" s="122"/>
      <c r="V98" s="122"/>
      <c r="W98" s="122"/>
      <c r="X98" s="122"/>
      <c r="Y98" s="122"/>
      <c r="Z98" s="122"/>
      <c r="AA98" s="122"/>
      <c r="AB98" s="122"/>
      <c r="AC98" s="122"/>
      <c r="AD98" s="122"/>
      <c r="AE98" s="123"/>
      <c r="AF98" s="123"/>
      <c r="AG98" s="123"/>
      <c r="AH98" s="123"/>
      <c r="AI98" s="123"/>
    </row>
    <row r="99" spans="1:35" ht="18.75" x14ac:dyDescent="0.45">
      <c r="A99" s="122"/>
      <c r="B99" s="122"/>
      <c r="C99" s="122"/>
      <c r="D99" s="122"/>
      <c r="E99" s="122"/>
      <c r="F99" s="122"/>
      <c r="G99" s="122"/>
      <c r="H99" s="122"/>
      <c r="I99" s="122"/>
      <c r="J99" s="122"/>
      <c r="K99" s="122"/>
      <c r="L99" s="122"/>
      <c r="M99" s="122"/>
      <c r="N99" s="122"/>
      <c r="O99" s="122"/>
      <c r="P99" s="122"/>
      <c r="Q99" s="122"/>
      <c r="R99" s="122"/>
      <c r="S99" s="122"/>
      <c r="T99" s="122"/>
      <c r="U99" s="122"/>
      <c r="V99" s="122"/>
      <c r="W99" s="122"/>
      <c r="X99" s="122"/>
      <c r="Y99" s="122"/>
      <c r="Z99" s="122"/>
      <c r="AA99" s="122"/>
      <c r="AB99" s="122"/>
      <c r="AC99" s="122"/>
      <c r="AD99" s="122"/>
      <c r="AE99" s="123"/>
      <c r="AF99" s="123"/>
      <c r="AG99" s="123"/>
      <c r="AH99" s="123"/>
      <c r="AI99" s="123"/>
    </row>
    <row r="100" spans="1:35" ht="18.75" x14ac:dyDescent="0.45">
      <c r="A100" s="122"/>
      <c r="B100" s="122"/>
      <c r="C100" s="122"/>
      <c r="D100" s="122"/>
      <c r="E100" s="122"/>
      <c r="F100" s="122"/>
      <c r="G100" s="122"/>
      <c r="H100" s="122"/>
      <c r="I100" s="122"/>
      <c r="J100" s="122"/>
      <c r="K100" s="122"/>
      <c r="L100" s="122"/>
      <c r="M100" s="122"/>
      <c r="N100" s="122"/>
      <c r="O100" s="122"/>
      <c r="P100" s="122"/>
      <c r="Q100" s="122"/>
      <c r="R100" s="122"/>
      <c r="S100" s="122"/>
      <c r="T100" s="122"/>
      <c r="U100" s="122"/>
      <c r="V100" s="122"/>
      <c r="W100" s="122"/>
      <c r="X100" s="122"/>
      <c r="Y100" s="122"/>
      <c r="Z100" s="122"/>
      <c r="AA100" s="122"/>
      <c r="AB100" s="122"/>
      <c r="AC100" s="122"/>
      <c r="AD100" s="122"/>
      <c r="AE100" s="123"/>
      <c r="AF100" s="123"/>
      <c r="AG100" s="123"/>
      <c r="AH100" s="123"/>
      <c r="AI100" s="123"/>
    </row>
    <row r="101" spans="1:35" ht="18.75" x14ac:dyDescent="0.45">
      <c r="A101" s="122"/>
      <c r="B101" s="122"/>
      <c r="C101" s="122"/>
      <c r="D101" s="122"/>
      <c r="E101" s="122"/>
      <c r="F101" s="122"/>
      <c r="G101" s="122"/>
      <c r="H101" s="122"/>
      <c r="I101" s="122"/>
      <c r="J101" s="122"/>
      <c r="K101" s="122"/>
      <c r="L101" s="122"/>
      <c r="M101" s="122"/>
      <c r="N101" s="122"/>
      <c r="O101" s="122"/>
      <c r="P101" s="122"/>
      <c r="Q101" s="122"/>
      <c r="R101" s="122"/>
      <c r="S101" s="122"/>
      <c r="T101" s="122"/>
      <c r="U101" s="122"/>
      <c r="V101" s="122"/>
      <c r="W101" s="122"/>
      <c r="X101" s="122"/>
      <c r="Y101" s="122"/>
      <c r="Z101" s="122"/>
      <c r="AA101" s="122"/>
      <c r="AB101" s="122"/>
      <c r="AC101" s="122"/>
      <c r="AD101" s="122"/>
      <c r="AE101" s="123"/>
      <c r="AF101" s="123"/>
      <c r="AG101" s="123"/>
      <c r="AH101" s="123"/>
      <c r="AI101" s="123"/>
    </row>
    <row r="102" spans="1:35" ht="18.75" x14ac:dyDescent="0.45">
      <c r="A102" s="122"/>
      <c r="B102" s="122"/>
      <c r="C102" s="122"/>
      <c r="D102" s="122"/>
      <c r="E102" s="122"/>
      <c r="F102" s="122"/>
      <c r="G102" s="122"/>
      <c r="H102" s="122"/>
      <c r="I102" s="122"/>
      <c r="J102" s="122"/>
      <c r="K102" s="122"/>
      <c r="L102" s="122"/>
      <c r="M102" s="122"/>
      <c r="N102" s="122"/>
      <c r="O102" s="122"/>
      <c r="P102" s="122"/>
      <c r="Q102" s="122"/>
      <c r="R102" s="122"/>
      <c r="S102" s="122"/>
      <c r="T102" s="122"/>
      <c r="U102" s="122"/>
      <c r="V102" s="122"/>
      <c r="W102" s="122"/>
      <c r="X102" s="122"/>
      <c r="Y102" s="122"/>
      <c r="Z102" s="122"/>
      <c r="AA102" s="122"/>
      <c r="AB102" s="122"/>
      <c r="AC102" s="122"/>
      <c r="AD102" s="122"/>
      <c r="AE102" s="123"/>
      <c r="AF102" s="123"/>
      <c r="AG102" s="123"/>
      <c r="AH102" s="123"/>
      <c r="AI102" s="123"/>
    </row>
    <row r="103" spans="1:35" ht="18.75" x14ac:dyDescent="0.45">
      <c r="A103" s="122"/>
      <c r="B103" s="122"/>
      <c r="C103" s="122"/>
      <c r="D103" s="122"/>
      <c r="E103" s="122"/>
      <c r="F103" s="122"/>
      <c r="G103" s="122"/>
      <c r="H103" s="122"/>
      <c r="I103" s="122"/>
      <c r="J103" s="122"/>
      <c r="K103" s="122"/>
      <c r="L103" s="122"/>
      <c r="M103" s="122"/>
      <c r="N103" s="122"/>
      <c r="O103" s="122"/>
      <c r="P103" s="122"/>
      <c r="Q103" s="122"/>
      <c r="R103" s="122"/>
      <c r="S103" s="122"/>
      <c r="T103" s="122"/>
      <c r="U103" s="122"/>
      <c r="V103" s="122"/>
      <c r="W103" s="122"/>
      <c r="X103" s="122"/>
      <c r="Y103" s="122"/>
      <c r="Z103" s="122"/>
      <c r="AA103" s="122"/>
      <c r="AB103" s="122"/>
      <c r="AC103" s="122"/>
      <c r="AD103" s="122"/>
      <c r="AE103" s="123"/>
      <c r="AF103" s="123"/>
      <c r="AG103" s="123"/>
      <c r="AH103" s="123"/>
      <c r="AI103" s="123"/>
    </row>
    <row r="104" spans="1:35" ht="18.75" x14ac:dyDescent="0.45">
      <c r="A104" s="122"/>
      <c r="B104" s="122"/>
      <c r="C104" s="122"/>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c r="AA104" s="122"/>
      <c r="AB104" s="122"/>
      <c r="AC104" s="122"/>
      <c r="AD104" s="122"/>
      <c r="AE104" s="123"/>
      <c r="AF104" s="123"/>
      <c r="AG104" s="123"/>
      <c r="AH104" s="123"/>
      <c r="AI104" s="123"/>
    </row>
    <row r="105" spans="1:35" ht="18.75" x14ac:dyDescent="0.45">
      <c r="A105" s="122"/>
      <c r="B105" s="122"/>
      <c r="C105" s="122"/>
      <c r="D105" s="122"/>
      <c r="E105" s="122"/>
      <c r="F105" s="122"/>
      <c r="G105" s="122"/>
      <c r="H105" s="122"/>
      <c r="I105" s="122"/>
      <c r="J105" s="122"/>
      <c r="K105" s="122"/>
      <c r="L105" s="122"/>
      <c r="M105" s="122"/>
      <c r="N105" s="122"/>
      <c r="O105" s="122"/>
      <c r="P105" s="122"/>
      <c r="Q105" s="122"/>
      <c r="R105" s="122"/>
      <c r="S105" s="122"/>
      <c r="T105" s="122"/>
      <c r="U105" s="122"/>
      <c r="V105" s="122"/>
      <c r="W105" s="122"/>
      <c r="X105" s="122"/>
      <c r="Y105" s="122"/>
      <c r="Z105" s="122"/>
      <c r="AA105" s="122"/>
      <c r="AB105" s="122"/>
      <c r="AC105" s="122"/>
      <c r="AD105" s="122"/>
      <c r="AE105" s="123"/>
      <c r="AF105" s="123"/>
      <c r="AG105" s="123"/>
      <c r="AH105" s="123"/>
      <c r="AI105" s="123"/>
    </row>
    <row r="106" spans="1:35" ht="18.75" x14ac:dyDescent="0.45">
      <c r="A106" s="122"/>
      <c r="B106" s="122"/>
      <c r="C106" s="12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c r="AA106" s="122"/>
      <c r="AB106" s="122"/>
      <c r="AC106" s="122"/>
      <c r="AD106" s="122"/>
      <c r="AE106" s="123"/>
      <c r="AF106" s="123"/>
      <c r="AG106" s="123"/>
      <c r="AH106" s="123"/>
      <c r="AI106" s="123"/>
    </row>
    <row r="107" spans="1:35" ht="18.75" x14ac:dyDescent="0.45">
      <c r="A107" s="122"/>
      <c r="B107" s="122"/>
      <c r="C107" s="122"/>
      <c r="D107" s="122"/>
      <c r="E107" s="122"/>
      <c r="F107" s="122"/>
      <c r="G107" s="122"/>
      <c r="H107" s="122"/>
      <c r="I107" s="122"/>
      <c r="J107" s="122"/>
      <c r="K107" s="122"/>
      <c r="L107" s="122"/>
      <c r="M107" s="122"/>
      <c r="N107" s="122"/>
      <c r="O107" s="122"/>
      <c r="P107" s="122"/>
      <c r="Q107" s="122"/>
      <c r="R107" s="122"/>
      <c r="S107" s="122"/>
      <c r="T107" s="122"/>
      <c r="U107" s="122"/>
      <c r="V107" s="122"/>
      <c r="W107" s="122"/>
      <c r="X107" s="122"/>
      <c r="Y107" s="122"/>
      <c r="Z107" s="122"/>
      <c r="AA107" s="122"/>
      <c r="AB107" s="122"/>
      <c r="AC107" s="122"/>
      <c r="AD107" s="122"/>
      <c r="AE107" s="123"/>
      <c r="AF107" s="123"/>
      <c r="AG107" s="123"/>
      <c r="AH107" s="123"/>
      <c r="AI107" s="123"/>
    </row>
    <row r="108" spans="1:35" ht="18.75" x14ac:dyDescent="0.45">
      <c r="A108" s="122"/>
      <c r="B108" s="122"/>
      <c r="C108" s="122"/>
      <c r="D108" s="122"/>
      <c r="E108" s="122"/>
      <c r="F108" s="122"/>
      <c r="G108" s="122"/>
      <c r="H108" s="122"/>
      <c r="I108" s="122"/>
      <c r="J108" s="122"/>
      <c r="K108" s="122"/>
      <c r="L108" s="122"/>
      <c r="M108" s="122"/>
      <c r="N108" s="122"/>
      <c r="O108" s="122"/>
      <c r="P108" s="122"/>
      <c r="Q108" s="122"/>
      <c r="R108" s="122"/>
      <c r="S108" s="122"/>
      <c r="T108" s="122"/>
      <c r="U108" s="122"/>
      <c r="V108" s="122"/>
      <c r="W108" s="122"/>
      <c r="X108" s="122"/>
      <c r="Y108" s="122"/>
      <c r="Z108" s="122"/>
      <c r="AA108" s="122"/>
      <c r="AB108" s="122"/>
      <c r="AC108" s="122"/>
      <c r="AD108" s="122"/>
      <c r="AE108" s="123"/>
      <c r="AF108" s="123"/>
      <c r="AG108" s="123"/>
      <c r="AH108" s="123"/>
      <c r="AI108" s="123"/>
    </row>
    <row r="109" spans="1:35" ht="18.75" x14ac:dyDescent="0.45">
      <c r="A109" s="122"/>
      <c r="B109" s="122"/>
      <c r="C109" s="122"/>
      <c r="D109" s="122"/>
      <c r="E109" s="122"/>
      <c r="F109" s="122"/>
      <c r="G109" s="122"/>
      <c r="H109" s="122"/>
      <c r="I109" s="122"/>
      <c r="J109" s="122"/>
      <c r="K109" s="122"/>
      <c r="L109" s="122"/>
      <c r="M109" s="122"/>
      <c r="N109" s="122"/>
      <c r="O109" s="122"/>
      <c r="P109" s="122"/>
      <c r="Q109" s="122"/>
      <c r="R109" s="122"/>
      <c r="S109" s="122"/>
      <c r="T109" s="122"/>
      <c r="U109" s="122"/>
      <c r="V109" s="122"/>
      <c r="W109" s="122"/>
      <c r="X109" s="122"/>
      <c r="Y109" s="122"/>
      <c r="Z109" s="122"/>
      <c r="AA109" s="122"/>
      <c r="AB109" s="122"/>
      <c r="AC109" s="122"/>
      <c r="AD109" s="122"/>
      <c r="AE109" s="123"/>
      <c r="AF109" s="123"/>
      <c r="AG109" s="123"/>
      <c r="AH109" s="123"/>
      <c r="AI109" s="123"/>
    </row>
    <row r="110" spans="1:35" ht="18.75" x14ac:dyDescent="0.45">
      <c r="A110" s="122"/>
      <c r="B110" s="122"/>
      <c r="C110" s="122"/>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c r="Z110" s="122"/>
      <c r="AA110" s="122"/>
      <c r="AB110" s="122"/>
      <c r="AC110" s="122"/>
      <c r="AD110" s="122"/>
      <c r="AE110" s="123"/>
      <c r="AF110" s="123"/>
      <c r="AG110" s="123"/>
      <c r="AH110" s="123"/>
      <c r="AI110" s="123"/>
    </row>
    <row r="111" spans="1:35" ht="18.75" x14ac:dyDescent="0.45">
      <c r="A111" s="122"/>
      <c r="B111" s="122"/>
      <c r="C111" s="122"/>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c r="Z111" s="122"/>
      <c r="AA111" s="122"/>
      <c r="AB111" s="122"/>
      <c r="AC111" s="122"/>
      <c r="AD111" s="122"/>
      <c r="AE111" s="123"/>
      <c r="AF111" s="123"/>
      <c r="AG111" s="123"/>
      <c r="AH111" s="123"/>
      <c r="AI111" s="123"/>
    </row>
    <row r="112" spans="1:35" ht="18.75" x14ac:dyDescent="0.45">
      <c r="A112" s="122"/>
      <c r="B112" s="122"/>
      <c r="C112" s="122"/>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c r="AA112" s="122"/>
      <c r="AB112" s="122"/>
      <c r="AC112" s="122"/>
      <c r="AD112" s="122"/>
      <c r="AE112" s="123"/>
      <c r="AF112" s="123"/>
      <c r="AG112" s="123"/>
      <c r="AH112" s="123"/>
      <c r="AI112" s="123"/>
    </row>
    <row r="113" spans="1:35" ht="18.75" x14ac:dyDescent="0.45">
      <c r="A113" s="122"/>
      <c r="B113" s="122"/>
      <c r="C113" s="122"/>
      <c r="D113" s="122"/>
      <c r="E113" s="122"/>
      <c r="F113" s="122"/>
      <c r="G113" s="122"/>
      <c r="H113" s="122"/>
      <c r="I113" s="122"/>
      <c r="J113" s="122"/>
      <c r="K113" s="122"/>
      <c r="L113" s="122"/>
      <c r="M113" s="122"/>
      <c r="N113" s="122"/>
      <c r="O113" s="122"/>
      <c r="P113" s="122"/>
      <c r="Q113" s="122"/>
      <c r="R113" s="122"/>
      <c r="S113" s="122"/>
      <c r="T113" s="122"/>
      <c r="U113" s="122"/>
      <c r="V113" s="122"/>
      <c r="W113" s="122"/>
      <c r="X113" s="122"/>
      <c r="Y113" s="122"/>
      <c r="Z113" s="122"/>
      <c r="AA113" s="122"/>
      <c r="AB113" s="122"/>
      <c r="AC113" s="122"/>
      <c r="AD113" s="122"/>
      <c r="AE113" s="123"/>
      <c r="AF113" s="123"/>
      <c r="AG113" s="123"/>
      <c r="AH113" s="123"/>
      <c r="AI113" s="123"/>
    </row>
    <row r="114" spans="1:35" ht="18.75" x14ac:dyDescent="0.45">
      <c r="A114" s="122"/>
      <c r="B114" s="122"/>
      <c r="C114" s="122"/>
      <c r="D114" s="122"/>
      <c r="E114" s="122"/>
      <c r="F114" s="122"/>
      <c r="G114" s="122"/>
      <c r="H114" s="122"/>
      <c r="I114" s="122"/>
      <c r="J114" s="122"/>
      <c r="K114" s="122"/>
      <c r="L114" s="122"/>
      <c r="M114" s="122"/>
      <c r="N114" s="122"/>
      <c r="O114" s="122"/>
      <c r="P114" s="122"/>
      <c r="Q114" s="122"/>
      <c r="R114" s="122"/>
      <c r="S114" s="122"/>
      <c r="T114" s="122"/>
      <c r="U114" s="122"/>
      <c r="V114" s="122"/>
      <c r="W114" s="122"/>
      <c r="X114" s="122"/>
      <c r="Y114" s="122"/>
      <c r="Z114" s="122"/>
      <c r="AA114" s="122"/>
      <c r="AB114" s="122"/>
      <c r="AC114" s="122"/>
      <c r="AD114" s="122"/>
      <c r="AE114" s="123"/>
      <c r="AF114" s="123"/>
      <c r="AG114" s="123"/>
      <c r="AH114" s="123"/>
      <c r="AI114" s="123"/>
    </row>
    <row r="115" spans="1:35" ht="18.75" x14ac:dyDescent="0.45">
      <c r="A115" s="122"/>
      <c r="B115" s="122"/>
      <c r="C115" s="122"/>
      <c r="D115" s="122"/>
      <c r="E115" s="122"/>
      <c r="F115" s="122"/>
      <c r="G115" s="122"/>
      <c r="H115" s="122"/>
      <c r="I115" s="122"/>
      <c r="J115" s="122"/>
      <c r="K115" s="122"/>
      <c r="L115" s="122"/>
      <c r="M115" s="122"/>
      <c r="N115" s="122"/>
      <c r="O115" s="122"/>
      <c r="P115" s="122"/>
      <c r="Q115" s="122"/>
      <c r="R115" s="122"/>
      <c r="S115" s="122"/>
      <c r="T115" s="122"/>
      <c r="U115" s="122"/>
      <c r="V115" s="122"/>
      <c r="W115" s="122"/>
      <c r="X115" s="122"/>
      <c r="Y115" s="122"/>
      <c r="Z115" s="122"/>
      <c r="AA115" s="122"/>
      <c r="AB115" s="122"/>
      <c r="AC115" s="122"/>
      <c r="AD115" s="122"/>
      <c r="AE115" s="123"/>
      <c r="AF115" s="123"/>
      <c r="AG115" s="123"/>
      <c r="AH115" s="123"/>
      <c r="AI115" s="123"/>
    </row>
    <row r="116" spans="1:35" ht="18.75" x14ac:dyDescent="0.45">
      <c r="A116" s="122"/>
      <c r="B116" s="122"/>
      <c r="C116" s="122"/>
      <c r="D116" s="122"/>
      <c r="E116" s="122"/>
      <c r="F116" s="122"/>
      <c r="G116" s="122"/>
      <c r="H116" s="122"/>
      <c r="I116" s="122"/>
      <c r="J116" s="122"/>
      <c r="K116" s="122"/>
      <c r="L116" s="122"/>
      <c r="M116" s="122"/>
      <c r="N116" s="122"/>
      <c r="O116" s="122"/>
      <c r="P116" s="122"/>
      <c r="Q116" s="122"/>
      <c r="R116" s="122"/>
      <c r="S116" s="122"/>
      <c r="T116" s="122"/>
      <c r="U116" s="122"/>
      <c r="V116" s="122"/>
      <c r="W116" s="122"/>
      <c r="X116" s="122"/>
      <c r="Y116" s="122"/>
      <c r="Z116" s="122"/>
      <c r="AA116" s="122"/>
      <c r="AB116" s="122"/>
      <c r="AC116" s="122"/>
      <c r="AD116" s="122"/>
      <c r="AE116" s="123"/>
      <c r="AF116" s="123"/>
      <c r="AG116" s="123"/>
      <c r="AH116" s="123"/>
      <c r="AI116" s="123"/>
    </row>
    <row r="117" spans="1:35" ht="18.75" x14ac:dyDescent="0.45">
      <c r="A117" s="122"/>
      <c r="B117" s="122"/>
      <c r="C117" s="122"/>
      <c r="D117" s="122"/>
      <c r="E117" s="122"/>
      <c r="F117" s="122"/>
      <c r="G117" s="122"/>
      <c r="H117" s="122"/>
      <c r="I117" s="122"/>
      <c r="J117" s="122"/>
      <c r="K117" s="122"/>
      <c r="L117" s="122"/>
      <c r="M117" s="122"/>
      <c r="N117" s="122"/>
      <c r="O117" s="122"/>
      <c r="P117" s="122"/>
      <c r="Q117" s="122"/>
      <c r="R117" s="122"/>
      <c r="S117" s="122"/>
      <c r="T117" s="122"/>
      <c r="U117" s="122"/>
      <c r="V117" s="122"/>
      <c r="W117" s="122"/>
      <c r="X117" s="122"/>
      <c r="Y117" s="122"/>
      <c r="Z117" s="122"/>
      <c r="AA117" s="122"/>
      <c r="AB117" s="122"/>
      <c r="AC117" s="122"/>
      <c r="AD117" s="122"/>
      <c r="AE117" s="123"/>
      <c r="AF117" s="123"/>
      <c r="AG117" s="123"/>
      <c r="AH117" s="123"/>
      <c r="AI117" s="123"/>
    </row>
    <row r="118" spans="1:35" ht="18.75" x14ac:dyDescent="0.45">
      <c r="A118" s="122"/>
      <c r="B118" s="122"/>
      <c r="C118" s="122"/>
      <c r="D118" s="122"/>
      <c r="E118" s="122"/>
      <c r="F118" s="122"/>
      <c r="G118" s="122"/>
      <c r="H118" s="122"/>
      <c r="I118" s="122"/>
      <c r="J118" s="122"/>
      <c r="K118" s="122"/>
      <c r="L118" s="122"/>
      <c r="M118" s="122"/>
      <c r="N118" s="122"/>
      <c r="O118" s="122"/>
      <c r="P118" s="122"/>
      <c r="Q118" s="122"/>
      <c r="R118" s="122"/>
      <c r="S118" s="122"/>
      <c r="T118" s="122"/>
      <c r="U118" s="122"/>
      <c r="V118" s="122"/>
      <c r="W118" s="122"/>
      <c r="X118" s="122"/>
      <c r="Y118" s="122"/>
      <c r="Z118" s="122"/>
      <c r="AA118" s="122"/>
      <c r="AB118" s="122"/>
      <c r="AC118" s="122"/>
      <c r="AD118" s="122"/>
      <c r="AE118" s="123"/>
      <c r="AF118" s="123"/>
      <c r="AG118" s="123"/>
      <c r="AH118" s="123"/>
      <c r="AI118" s="123"/>
    </row>
    <row r="119" spans="1:35" ht="18.75" x14ac:dyDescent="0.45">
      <c r="A119" s="122"/>
      <c r="B119" s="122"/>
      <c r="C119" s="122"/>
      <c r="D119" s="122"/>
      <c r="E119" s="122"/>
      <c r="F119" s="122"/>
      <c r="G119" s="122"/>
      <c r="H119" s="122"/>
      <c r="I119" s="122"/>
      <c r="J119" s="122"/>
      <c r="K119" s="122"/>
      <c r="L119" s="122"/>
      <c r="M119" s="122"/>
      <c r="N119" s="122"/>
      <c r="O119" s="122"/>
      <c r="P119" s="122"/>
      <c r="Q119" s="122"/>
      <c r="R119" s="122"/>
      <c r="S119" s="122"/>
      <c r="T119" s="122"/>
      <c r="U119" s="122"/>
      <c r="V119" s="122"/>
      <c r="W119" s="122"/>
      <c r="X119" s="122"/>
      <c r="Y119" s="122"/>
      <c r="Z119" s="122"/>
      <c r="AA119" s="122"/>
      <c r="AB119" s="122"/>
      <c r="AC119" s="122"/>
      <c r="AD119" s="122"/>
      <c r="AE119" s="123"/>
      <c r="AF119" s="123"/>
      <c r="AG119" s="123"/>
      <c r="AH119" s="123"/>
      <c r="AI119" s="123"/>
    </row>
  </sheetData>
  <mergeCells count="17">
    <mergeCell ref="V1:Z1"/>
    <mergeCell ref="K10:V10"/>
    <mergeCell ref="M33:O33"/>
    <mergeCell ref="J35:J37"/>
    <mergeCell ref="J38:J40"/>
    <mergeCell ref="F10:J10"/>
    <mergeCell ref="I1:L1"/>
    <mergeCell ref="M1:U1"/>
    <mergeCell ref="B1:G1"/>
    <mergeCell ref="B9:T9"/>
    <mergeCell ref="E33:G33"/>
    <mergeCell ref="B35:B37"/>
    <mergeCell ref="B38:B40"/>
    <mergeCell ref="B41:B44"/>
    <mergeCell ref="B45:B46"/>
    <mergeCell ref="J45:J46"/>
    <mergeCell ref="J41:J44"/>
  </mergeCells>
  <phoneticPr fontId="16"/>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J36"/>
  <sheetViews>
    <sheetView zoomScale="75" zoomScaleNormal="75" workbookViewId="0">
      <selection activeCell="D2" sqref="D2:I2"/>
    </sheetView>
  </sheetViews>
  <sheetFormatPr defaultColWidth="8.625" defaultRowHeight="18.75" x14ac:dyDescent="0.15"/>
  <cols>
    <col min="1" max="1" width="8.625" style="4"/>
    <col min="2" max="2" width="38.625" style="4" customWidth="1"/>
    <col min="3" max="3" width="7.625" style="4" bestFit="1" customWidth="1"/>
    <col min="4" max="9" width="12.875" style="4" customWidth="1"/>
    <col min="10" max="10" width="36.125" style="4" customWidth="1"/>
    <col min="11" max="16384" width="8.625" style="4"/>
  </cols>
  <sheetData>
    <row r="1" spans="1:10" ht="39.950000000000003" customHeight="1" x14ac:dyDescent="0.15">
      <c r="A1" s="3" t="s">
        <v>125</v>
      </c>
      <c r="D1" s="6"/>
    </row>
    <row r="2" spans="1:10" ht="39.950000000000003" customHeight="1" x14ac:dyDescent="0.15">
      <c r="A2" s="442" t="s">
        <v>0</v>
      </c>
      <c r="B2" s="442"/>
      <c r="C2" s="7" t="s">
        <v>1</v>
      </c>
      <c r="D2" s="8"/>
      <c r="E2" s="8"/>
      <c r="F2" s="8"/>
      <c r="G2" s="8"/>
      <c r="H2" s="1"/>
      <c r="I2" s="8"/>
    </row>
    <row r="3" spans="1:10" ht="24.95" customHeight="1" x14ac:dyDescent="0.15">
      <c r="A3" s="9"/>
      <c r="B3" s="10" t="s">
        <v>2</v>
      </c>
      <c r="C3" s="88">
        <v>5</v>
      </c>
      <c r="D3" s="91">
        <v>4</v>
      </c>
      <c r="E3" s="91">
        <v>2</v>
      </c>
      <c r="F3" s="91">
        <v>2</v>
      </c>
      <c r="G3" s="91">
        <v>2</v>
      </c>
      <c r="H3" s="92">
        <v>3</v>
      </c>
      <c r="I3" s="403">
        <v>4</v>
      </c>
    </row>
    <row r="4" spans="1:10" ht="24.95" customHeight="1" x14ac:dyDescent="0.15">
      <c r="A4" s="9"/>
      <c r="B4" s="12" t="s">
        <v>3</v>
      </c>
      <c r="C4" s="87">
        <v>5</v>
      </c>
      <c r="D4" s="91">
        <v>4</v>
      </c>
      <c r="E4" s="91">
        <v>3</v>
      </c>
      <c r="F4" s="91">
        <v>3</v>
      </c>
      <c r="G4" s="91">
        <v>4</v>
      </c>
      <c r="H4" s="92">
        <v>4</v>
      </c>
      <c r="I4" s="403">
        <v>3</v>
      </c>
    </row>
    <row r="5" spans="1:10" ht="24.95" customHeight="1" x14ac:dyDescent="0.15">
      <c r="A5" s="9" t="s">
        <v>4</v>
      </c>
      <c r="B5" s="12" t="s">
        <v>5</v>
      </c>
      <c r="C5" s="87">
        <v>5</v>
      </c>
      <c r="D5" s="91">
        <v>3</v>
      </c>
      <c r="E5" s="91">
        <v>3</v>
      </c>
      <c r="F5" s="91">
        <v>3</v>
      </c>
      <c r="G5" s="91">
        <v>3</v>
      </c>
      <c r="H5" s="92">
        <v>2</v>
      </c>
      <c r="I5" s="403">
        <v>3</v>
      </c>
    </row>
    <row r="6" spans="1:10" ht="24.95" customHeight="1" x14ac:dyDescent="0.15">
      <c r="A6" s="9"/>
      <c r="B6" s="12" t="s">
        <v>6</v>
      </c>
      <c r="C6" s="87">
        <v>5</v>
      </c>
      <c r="D6" s="91">
        <v>4</v>
      </c>
      <c r="E6" s="91">
        <v>2</v>
      </c>
      <c r="F6" s="91">
        <v>3</v>
      </c>
      <c r="G6" s="91">
        <v>3</v>
      </c>
      <c r="H6" s="92">
        <v>3</v>
      </c>
      <c r="I6" s="403">
        <v>3</v>
      </c>
    </row>
    <row r="7" spans="1:10" ht="24.95" customHeight="1" x14ac:dyDescent="0.15">
      <c r="A7" s="9"/>
      <c r="B7" s="12" t="s">
        <v>7</v>
      </c>
      <c r="C7" s="87">
        <v>5</v>
      </c>
      <c r="D7" s="91">
        <v>2</v>
      </c>
      <c r="E7" s="91">
        <v>2</v>
      </c>
      <c r="F7" s="91">
        <v>3</v>
      </c>
      <c r="G7" s="91">
        <v>3</v>
      </c>
      <c r="H7" s="92">
        <v>3</v>
      </c>
      <c r="I7" s="403">
        <v>3</v>
      </c>
    </row>
    <row r="8" spans="1:10" ht="24.95" customHeight="1" x14ac:dyDescent="0.15">
      <c r="A8" s="9"/>
      <c r="B8" s="12" t="s">
        <v>8</v>
      </c>
      <c r="C8" s="87">
        <v>5</v>
      </c>
      <c r="D8" s="91">
        <v>4</v>
      </c>
      <c r="E8" s="91">
        <v>3</v>
      </c>
      <c r="F8" s="91">
        <v>3</v>
      </c>
      <c r="G8" s="91">
        <v>4</v>
      </c>
      <c r="H8" s="92">
        <v>3</v>
      </c>
      <c r="I8" s="403">
        <v>3</v>
      </c>
    </row>
    <row r="9" spans="1:10" ht="24.95" customHeight="1" x14ac:dyDescent="0.15">
      <c r="A9" s="10"/>
      <c r="B9" s="14" t="s">
        <v>20</v>
      </c>
      <c r="C9" s="87">
        <v>5</v>
      </c>
      <c r="D9" s="91">
        <v>3</v>
      </c>
      <c r="E9" s="91">
        <v>3</v>
      </c>
      <c r="F9" s="91">
        <v>3</v>
      </c>
      <c r="G9" s="91">
        <v>3</v>
      </c>
      <c r="H9" s="92">
        <v>3</v>
      </c>
      <c r="I9" s="403">
        <v>3</v>
      </c>
    </row>
    <row r="10" spans="1:10" ht="24.95" customHeight="1" x14ac:dyDescent="0.15">
      <c r="A10" s="443" t="s">
        <v>9</v>
      </c>
      <c r="B10" s="444"/>
      <c r="C10" s="87">
        <f t="shared" ref="C10:H10" si="0">SUM(C3:C9)</f>
        <v>35</v>
      </c>
      <c r="D10" s="87">
        <f t="shared" si="0"/>
        <v>24</v>
      </c>
      <c r="E10" s="87">
        <f t="shared" si="0"/>
        <v>18</v>
      </c>
      <c r="F10" s="87">
        <f t="shared" si="0"/>
        <v>20</v>
      </c>
      <c r="G10" s="87">
        <f t="shared" si="0"/>
        <v>22</v>
      </c>
      <c r="H10" s="93">
        <f t="shared" si="0"/>
        <v>21</v>
      </c>
      <c r="I10" s="87">
        <f t="shared" ref="I10" si="1">SUM(I3:I9)</f>
        <v>22</v>
      </c>
    </row>
    <row r="11" spans="1:10" ht="24.95" customHeight="1" x14ac:dyDescent="0.15">
      <c r="A11" s="15" t="s">
        <v>10</v>
      </c>
      <c r="B11" s="12" t="s">
        <v>11</v>
      </c>
      <c r="C11" s="87">
        <v>10</v>
      </c>
      <c r="D11" s="91">
        <v>8</v>
      </c>
      <c r="E11" s="91">
        <v>9</v>
      </c>
      <c r="F11" s="403">
        <v>3</v>
      </c>
      <c r="G11" s="91">
        <v>7</v>
      </c>
      <c r="H11" s="404">
        <v>9</v>
      </c>
      <c r="I11" s="403">
        <v>6</v>
      </c>
      <c r="J11" s="4" t="s">
        <v>287</v>
      </c>
    </row>
    <row r="12" spans="1:10" ht="24.95" customHeight="1" x14ac:dyDescent="0.15">
      <c r="A12" s="16"/>
      <c r="B12" s="12" t="s">
        <v>12</v>
      </c>
      <c r="C12" s="87">
        <v>10</v>
      </c>
      <c r="D12" s="91">
        <v>8</v>
      </c>
      <c r="E12" s="91">
        <v>9</v>
      </c>
      <c r="F12" s="403">
        <v>3</v>
      </c>
      <c r="G12" s="91">
        <v>7</v>
      </c>
      <c r="H12" s="404">
        <v>9</v>
      </c>
      <c r="I12" s="422">
        <v>4</v>
      </c>
      <c r="J12" s="4" t="s">
        <v>288</v>
      </c>
    </row>
    <row r="13" spans="1:10" ht="24.95" customHeight="1" x14ac:dyDescent="0.15">
      <c r="A13" s="14"/>
      <c r="B13" s="12" t="s">
        <v>13</v>
      </c>
      <c r="C13" s="87">
        <v>10</v>
      </c>
      <c r="D13" s="91">
        <v>6</v>
      </c>
      <c r="E13" s="91">
        <v>6</v>
      </c>
      <c r="F13" s="91">
        <v>6</v>
      </c>
      <c r="G13" s="91">
        <v>6</v>
      </c>
      <c r="H13" s="404">
        <v>4</v>
      </c>
      <c r="I13" s="403">
        <v>6</v>
      </c>
      <c r="J13" s="4" t="s">
        <v>289</v>
      </c>
    </row>
    <row r="14" spans="1:10" ht="24.95" customHeight="1" x14ac:dyDescent="0.15">
      <c r="A14" s="9"/>
      <c r="B14" s="12" t="s">
        <v>14</v>
      </c>
      <c r="C14" s="87">
        <v>10</v>
      </c>
      <c r="D14" s="91">
        <v>4</v>
      </c>
      <c r="E14" s="91">
        <v>8</v>
      </c>
      <c r="F14" s="91">
        <v>4</v>
      </c>
      <c r="G14" s="91">
        <v>4</v>
      </c>
      <c r="H14" s="404">
        <v>4</v>
      </c>
      <c r="I14" s="403">
        <v>6</v>
      </c>
      <c r="J14" s="4" t="s">
        <v>290</v>
      </c>
    </row>
    <row r="15" spans="1:10" ht="24.95" customHeight="1" x14ac:dyDescent="0.15">
      <c r="A15" s="9" t="s">
        <v>15</v>
      </c>
      <c r="B15" s="12" t="s">
        <v>16</v>
      </c>
      <c r="C15" s="87">
        <v>10</v>
      </c>
      <c r="D15" s="91">
        <v>5</v>
      </c>
      <c r="E15" s="399">
        <v>6</v>
      </c>
      <c r="F15" s="91">
        <v>4</v>
      </c>
      <c r="G15" s="91">
        <v>4</v>
      </c>
      <c r="H15" s="404">
        <v>6</v>
      </c>
      <c r="I15" s="403">
        <v>2</v>
      </c>
      <c r="J15" s="4" t="s">
        <v>291</v>
      </c>
    </row>
    <row r="16" spans="1:10" ht="24.95" customHeight="1" x14ac:dyDescent="0.15">
      <c r="A16" s="9"/>
      <c r="B16" s="12" t="s">
        <v>17</v>
      </c>
      <c r="C16" s="87">
        <v>10</v>
      </c>
      <c r="D16" s="91">
        <v>6</v>
      </c>
      <c r="E16" s="91">
        <v>6</v>
      </c>
      <c r="F16" s="91">
        <v>6</v>
      </c>
      <c r="G16" s="91">
        <v>6</v>
      </c>
      <c r="H16" s="404">
        <v>6</v>
      </c>
      <c r="I16" s="403">
        <v>4</v>
      </c>
      <c r="J16" s="4" t="s">
        <v>292</v>
      </c>
    </row>
    <row r="17" spans="1:9" ht="24.95" customHeight="1" x14ac:dyDescent="0.15">
      <c r="A17" s="10"/>
      <c r="B17" s="12" t="s">
        <v>18</v>
      </c>
      <c r="C17" s="87">
        <v>10</v>
      </c>
      <c r="D17" s="91">
        <v>4</v>
      </c>
      <c r="E17" s="91">
        <v>6</v>
      </c>
      <c r="F17" s="91">
        <v>4</v>
      </c>
      <c r="G17" s="91">
        <v>2</v>
      </c>
      <c r="H17" s="404">
        <v>4</v>
      </c>
      <c r="I17" s="403">
        <v>4</v>
      </c>
    </row>
    <row r="18" spans="1:9" ht="24.95" customHeight="1" x14ac:dyDescent="0.15">
      <c r="A18" s="442" t="s">
        <v>9</v>
      </c>
      <c r="B18" s="442"/>
      <c r="C18" s="87">
        <f t="shared" ref="C18:H18" si="2">SUM(C11:C17)</f>
        <v>70</v>
      </c>
      <c r="D18" s="87">
        <f t="shared" si="2"/>
        <v>41</v>
      </c>
      <c r="E18" s="87">
        <f t="shared" si="2"/>
        <v>50</v>
      </c>
      <c r="F18" s="87">
        <f t="shared" si="2"/>
        <v>30</v>
      </c>
      <c r="G18" s="87">
        <f t="shared" si="2"/>
        <v>36</v>
      </c>
      <c r="H18" s="93">
        <f t="shared" si="2"/>
        <v>42</v>
      </c>
      <c r="I18" s="87">
        <f t="shared" ref="I18" si="3">SUM(I11:I17)</f>
        <v>32</v>
      </c>
    </row>
    <row r="19" spans="1:9" ht="24.95" customHeight="1" x14ac:dyDescent="0.15">
      <c r="A19" s="442" t="s">
        <v>19</v>
      </c>
      <c r="B19" s="442"/>
      <c r="C19" s="87">
        <f t="shared" ref="C19:H19" si="4">C10+C18</f>
        <v>105</v>
      </c>
      <c r="D19" s="87">
        <f t="shared" si="4"/>
        <v>65</v>
      </c>
      <c r="E19" s="87">
        <f t="shared" si="4"/>
        <v>68</v>
      </c>
      <c r="F19" s="87">
        <f t="shared" si="4"/>
        <v>50</v>
      </c>
      <c r="G19" s="87">
        <f t="shared" si="4"/>
        <v>58</v>
      </c>
      <c r="H19" s="93">
        <f t="shared" si="4"/>
        <v>63</v>
      </c>
      <c r="I19" s="87">
        <f t="shared" ref="I19" si="5">I10+I18</f>
        <v>54</v>
      </c>
    </row>
    <row r="20" spans="1:9" ht="9.9499999999999993" customHeight="1" x14ac:dyDescent="0.15">
      <c r="A20" s="28"/>
      <c r="B20" s="28"/>
      <c r="C20" s="82"/>
      <c r="D20" s="82"/>
      <c r="E20" s="82"/>
      <c r="F20" s="82"/>
      <c r="G20" s="82"/>
      <c r="H20" s="94"/>
      <c r="I20" s="82"/>
    </row>
    <row r="21" spans="1:9" ht="24.95" customHeight="1" x14ac:dyDescent="0.15">
      <c r="A21" s="447" t="s">
        <v>189</v>
      </c>
      <c r="B21" s="447"/>
      <c r="C21" s="87"/>
      <c r="D21" s="37">
        <v>0.45</v>
      </c>
      <c r="E21" s="37">
        <v>0.35</v>
      </c>
      <c r="F21" s="87"/>
      <c r="G21" s="87"/>
      <c r="H21" s="118">
        <v>0.35</v>
      </c>
      <c r="I21" s="87"/>
    </row>
    <row r="22" spans="1:9" ht="24.95" customHeight="1" x14ac:dyDescent="0.15">
      <c r="A22" s="447" t="s">
        <v>190</v>
      </c>
      <c r="B22" s="447"/>
      <c r="C22" s="87"/>
      <c r="D22" s="95">
        <f>D19*(1-D21)</f>
        <v>35.75</v>
      </c>
      <c r="E22" s="95">
        <f>E19*(1-E21)</f>
        <v>44.2</v>
      </c>
      <c r="F22" s="87"/>
      <c r="G22" s="87"/>
      <c r="H22" s="95">
        <f>H19*(1-H21)</f>
        <v>40.950000000000003</v>
      </c>
      <c r="I22" s="87"/>
    </row>
    <row r="23" spans="1:9" ht="9.9499999999999993" customHeight="1" x14ac:dyDescent="0.15">
      <c r="C23" s="83"/>
      <c r="D23" s="83"/>
      <c r="E23" s="83"/>
      <c r="F23" s="83"/>
      <c r="G23" s="83"/>
      <c r="H23" s="83"/>
      <c r="I23" s="83"/>
    </row>
    <row r="24" spans="1:9" ht="24.95" customHeight="1" x14ac:dyDescent="0.15">
      <c r="A24" s="445" t="s">
        <v>185</v>
      </c>
      <c r="B24" s="445"/>
      <c r="C24" s="89"/>
      <c r="D24" s="89">
        <f>管理職_TGL!E35</f>
        <v>36</v>
      </c>
      <c r="E24" s="89">
        <f>管理職_YGLH!F35</f>
        <v>29</v>
      </c>
      <c r="F24" s="89"/>
      <c r="G24" s="89"/>
      <c r="H24" s="89">
        <f>管理職_MJ!F35</f>
        <v>32</v>
      </c>
      <c r="I24" s="89"/>
    </row>
    <row r="25" spans="1:9" ht="24.95" customHeight="1" x14ac:dyDescent="0.15">
      <c r="A25" s="446" t="s">
        <v>186</v>
      </c>
      <c r="B25" s="446"/>
      <c r="C25" s="89"/>
      <c r="D25" s="47">
        <f>D24/75*100</f>
        <v>48</v>
      </c>
      <c r="E25" s="47">
        <f>E24/75*100</f>
        <v>38.666666666666664</v>
      </c>
      <c r="F25" s="89"/>
      <c r="G25" s="89"/>
      <c r="H25" s="47">
        <f>H24/75*100</f>
        <v>42.666666666666671</v>
      </c>
      <c r="I25" s="89"/>
    </row>
    <row r="26" spans="1:9" ht="24.95" customHeight="1" x14ac:dyDescent="0.15">
      <c r="A26" s="445" t="s">
        <v>187</v>
      </c>
      <c r="B26" s="445"/>
      <c r="C26" s="89"/>
      <c r="D26" s="40">
        <v>0.45</v>
      </c>
      <c r="E26" s="40">
        <v>0.35</v>
      </c>
      <c r="F26" s="89"/>
      <c r="G26" s="89"/>
      <c r="H26" s="40">
        <v>0.35</v>
      </c>
      <c r="I26" s="89"/>
    </row>
    <row r="27" spans="1:9" ht="24.95" customHeight="1" x14ac:dyDescent="0.15">
      <c r="A27" s="446" t="s">
        <v>188</v>
      </c>
      <c r="B27" s="446"/>
      <c r="C27" s="104"/>
      <c r="D27" s="106">
        <f>D25*D26</f>
        <v>21.6</v>
      </c>
      <c r="E27" s="106">
        <f>E25*E26</f>
        <v>13.533333333333331</v>
      </c>
      <c r="F27" s="104"/>
      <c r="G27" s="104"/>
      <c r="H27" s="106">
        <f>H25*H26</f>
        <v>14.933333333333334</v>
      </c>
      <c r="I27" s="104"/>
    </row>
    <row r="28" spans="1:9" ht="9.9499999999999993" customHeight="1" x14ac:dyDescent="0.15">
      <c r="C28" s="83"/>
      <c r="D28" s="83"/>
      <c r="E28" s="83"/>
      <c r="F28" s="83"/>
      <c r="G28" s="83"/>
      <c r="H28" s="83"/>
      <c r="I28" s="83"/>
    </row>
    <row r="29" spans="1:9" s="5" customFormat="1" ht="24.95" customHeight="1" x14ac:dyDescent="0.15">
      <c r="A29" s="448" t="s">
        <v>179</v>
      </c>
      <c r="B29" s="449"/>
      <c r="C29" s="39"/>
      <c r="D29" s="39">
        <v>0</v>
      </c>
      <c r="E29" s="39">
        <v>1</v>
      </c>
      <c r="F29" s="39">
        <v>0</v>
      </c>
      <c r="G29" s="39">
        <v>1</v>
      </c>
      <c r="H29" s="39">
        <v>0</v>
      </c>
      <c r="I29" s="39">
        <v>0</v>
      </c>
    </row>
    <row r="30" spans="1:9" s="5" customFormat="1" ht="24.95" customHeight="1" x14ac:dyDescent="0.15">
      <c r="A30" s="448" t="s">
        <v>180</v>
      </c>
      <c r="B30" s="449"/>
      <c r="C30" s="39"/>
      <c r="D30" s="39">
        <v>1</v>
      </c>
      <c r="E30" s="39">
        <v>0</v>
      </c>
      <c r="F30" s="39">
        <v>1</v>
      </c>
      <c r="G30" s="39">
        <v>0</v>
      </c>
      <c r="H30" s="39">
        <v>1</v>
      </c>
      <c r="I30" s="39">
        <v>1</v>
      </c>
    </row>
    <row r="31" spans="1:9" ht="9.9499999999999993" customHeight="1" x14ac:dyDescent="0.15">
      <c r="C31" s="83"/>
      <c r="D31" s="83"/>
      <c r="E31" s="83"/>
      <c r="F31" s="83"/>
      <c r="G31" s="83"/>
      <c r="H31" s="83"/>
      <c r="I31" s="83"/>
    </row>
    <row r="32" spans="1:9" s="5" customFormat="1" ht="24.95" customHeight="1" x14ac:dyDescent="0.15">
      <c r="A32" s="442" t="s">
        <v>181</v>
      </c>
      <c r="B32" s="442"/>
      <c r="C32" s="39"/>
      <c r="D32" s="39">
        <f>D30-D29</f>
        <v>1</v>
      </c>
      <c r="E32" s="39">
        <f t="shared" ref="E32:H32" si="6">E30-E29</f>
        <v>-1</v>
      </c>
      <c r="F32" s="39">
        <f t="shared" si="6"/>
        <v>1</v>
      </c>
      <c r="G32" s="39">
        <f t="shared" si="6"/>
        <v>-1</v>
      </c>
      <c r="H32" s="39">
        <f t="shared" si="6"/>
        <v>1</v>
      </c>
      <c r="I32" s="39">
        <f t="shared" ref="I32" si="7">I30-I29</f>
        <v>1</v>
      </c>
    </row>
    <row r="33" spans="1:9" s="5" customFormat="1" ht="24.95" customHeight="1" x14ac:dyDescent="0.15">
      <c r="A33" s="442" t="s">
        <v>182</v>
      </c>
      <c r="B33" s="442"/>
      <c r="C33" s="39"/>
      <c r="D33" s="96">
        <f>D22+D27+D32</f>
        <v>58.35</v>
      </c>
      <c r="E33" s="96">
        <f t="shared" ref="E33:H33" si="8">E22+E27+E32</f>
        <v>56.733333333333334</v>
      </c>
      <c r="F33" s="96">
        <f>F19+F32</f>
        <v>51</v>
      </c>
      <c r="G33" s="96">
        <f>G19+G32</f>
        <v>57</v>
      </c>
      <c r="H33" s="96">
        <f t="shared" si="8"/>
        <v>56.88333333333334</v>
      </c>
      <c r="I33" s="96">
        <f>I19+I32</f>
        <v>55</v>
      </c>
    </row>
    <row r="34" spans="1:9" ht="9.9499999999999993" customHeight="1" x14ac:dyDescent="0.15">
      <c r="C34" s="83"/>
      <c r="D34" s="83"/>
      <c r="E34" s="83"/>
      <c r="F34" s="83"/>
      <c r="G34" s="83"/>
      <c r="H34" s="83"/>
      <c r="I34" s="83"/>
    </row>
    <row r="35" spans="1:9" s="5" customFormat="1" ht="24.95" customHeight="1" x14ac:dyDescent="0.15">
      <c r="A35" s="450" t="s">
        <v>183</v>
      </c>
      <c r="B35" s="450"/>
      <c r="C35" s="39"/>
      <c r="D35" s="48">
        <f>D33</f>
        <v>58.35</v>
      </c>
      <c r="E35" s="48">
        <f t="shared" ref="E35:H35" si="9">E33</f>
        <v>56.733333333333334</v>
      </c>
      <c r="F35" s="48">
        <f t="shared" si="9"/>
        <v>51</v>
      </c>
      <c r="G35" s="48">
        <f t="shared" si="9"/>
        <v>57</v>
      </c>
      <c r="H35" s="48">
        <f t="shared" si="9"/>
        <v>56.88333333333334</v>
      </c>
      <c r="I35" s="48">
        <f t="shared" ref="I35" si="10">I33</f>
        <v>55</v>
      </c>
    </row>
    <row r="36" spans="1:9" s="5" customFormat="1" ht="24.95" customHeight="1" x14ac:dyDescent="0.15">
      <c r="A36" s="451" t="s">
        <v>184</v>
      </c>
      <c r="B36" s="451"/>
      <c r="C36" s="51"/>
      <c r="D36" s="52">
        <f>INT(D35+0.5)</f>
        <v>58</v>
      </c>
      <c r="E36" s="52">
        <f t="shared" ref="E36:H36" si="11">INT(E35+0.5)</f>
        <v>57</v>
      </c>
      <c r="F36" s="52">
        <f t="shared" si="11"/>
        <v>51</v>
      </c>
      <c r="G36" s="52">
        <f t="shared" si="11"/>
        <v>57</v>
      </c>
      <c r="H36" s="52">
        <f t="shared" si="11"/>
        <v>57</v>
      </c>
      <c r="I36" s="52">
        <f t="shared" ref="I36" si="12">INT(I35+0.5)</f>
        <v>55</v>
      </c>
    </row>
  </sheetData>
  <mergeCells count="16">
    <mergeCell ref="A33:B33"/>
    <mergeCell ref="A29:B29"/>
    <mergeCell ref="A30:B30"/>
    <mergeCell ref="A35:B35"/>
    <mergeCell ref="A36:B36"/>
    <mergeCell ref="A2:B2"/>
    <mergeCell ref="A10:B10"/>
    <mergeCell ref="A18:B18"/>
    <mergeCell ref="A19:B19"/>
    <mergeCell ref="A32:B32"/>
    <mergeCell ref="A24:B24"/>
    <mergeCell ref="A25:B25"/>
    <mergeCell ref="A26:B26"/>
    <mergeCell ref="A27:B27"/>
    <mergeCell ref="A21:B21"/>
    <mergeCell ref="A22:B22"/>
  </mergeCells>
  <phoneticPr fontId="16"/>
  <pageMargins left="0.7" right="0.7" top="0.75" bottom="0.75" header="0.3" footer="0.3"/>
  <pageSetup paperSize="9" scale="4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A1:G39"/>
  <sheetViews>
    <sheetView zoomScale="80" zoomScaleNormal="80" workbookViewId="0">
      <selection activeCell="D2" sqref="D2:G2"/>
    </sheetView>
  </sheetViews>
  <sheetFormatPr defaultColWidth="9.625" defaultRowHeight="19.5" x14ac:dyDescent="0.15"/>
  <cols>
    <col min="1" max="1" width="9.625" style="5"/>
    <col min="2" max="2" width="36.5" style="5" bestFit="1" customWidth="1"/>
    <col min="3" max="3" width="6.625" style="82" bestFit="1" customWidth="1"/>
    <col min="4" max="7" width="14.125" style="5" customWidth="1"/>
    <col min="8" max="16384" width="9.625" style="5"/>
  </cols>
  <sheetData>
    <row r="1" spans="1:7" ht="39.950000000000003" customHeight="1" x14ac:dyDescent="0.15">
      <c r="A1" s="32" t="s">
        <v>138</v>
      </c>
    </row>
    <row r="2" spans="1:7" ht="24.95" customHeight="1" x14ac:dyDescent="0.15">
      <c r="A2" s="442" t="s">
        <v>0</v>
      </c>
      <c r="B2" s="442"/>
      <c r="C2" s="36" t="s">
        <v>1</v>
      </c>
      <c r="D2" s="86"/>
      <c r="E2" s="86"/>
      <c r="F2" s="86"/>
      <c r="G2" s="86"/>
    </row>
    <row r="3" spans="1:7" ht="24.95" customHeight="1" x14ac:dyDescent="0.15">
      <c r="A3" s="9"/>
      <c r="B3" s="10" t="s">
        <v>2</v>
      </c>
      <c r="C3" s="88">
        <v>5</v>
      </c>
      <c r="D3" s="97">
        <v>3</v>
      </c>
      <c r="E3" s="97">
        <v>3</v>
      </c>
      <c r="F3" s="97">
        <v>3</v>
      </c>
      <c r="G3" s="97">
        <v>3</v>
      </c>
    </row>
    <row r="4" spans="1:7" ht="24.95" customHeight="1" x14ac:dyDescent="0.15">
      <c r="A4" s="9"/>
      <c r="B4" s="12" t="s">
        <v>3</v>
      </c>
      <c r="C4" s="87">
        <v>5</v>
      </c>
      <c r="D4" s="97">
        <v>4</v>
      </c>
      <c r="E4" s="97">
        <v>3</v>
      </c>
      <c r="F4" s="97">
        <v>3</v>
      </c>
      <c r="G4" s="97">
        <v>3</v>
      </c>
    </row>
    <row r="5" spans="1:7" ht="24.95" customHeight="1" x14ac:dyDescent="0.15">
      <c r="A5" s="9" t="s">
        <v>4</v>
      </c>
      <c r="B5" s="12" t="s">
        <v>5</v>
      </c>
      <c r="C5" s="87">
        <v>5</v>
      </c>
      <c r="D5" s="97">
        <v>3</v>
      </c>
      <c r="E5" s="97">
        <v>3</v>
      </c>
      <c r="F5" s="97">
        <v>4</v>
      </c>
      <c r="G5" s="97">
        <v>3</v>
      </c>
    </row>
    <row r="6" spans="1:7" ht="24.95" customHeight="1" x14ac:dyDescent="0.15">
      <c r="A6" s="9"/>
      <c r="B6" s="12" t="s">
        <v>6</v>
      </c>
      <c r="C6" s="87">
        <v>5</v>
      </c>
      <c r="D6" s="97">
        <v>4</v>
      </c>
      <c r="E6" s="97">
        <v>3</v>
      </c>
      <c r="F6" s="97">
        <v>3</v>
      </c>
      <c r="G6" s="97">
        <v>3</v>
      </c>
    </row>
    <row r="7" spans="1:7" ht="24.95" customHeight="1" x14ac:dyDescent="0.15">
      <c r="A7" s="9"/>
      <c r="B7" s="12" t="s">
        <v>7</v>
      </c>
      <c r="C7" s="87">
        <v>5</v>
      </c>
      <c r="D7" s="97">
        <v>2</v>
      </c>
      <c r="E7" s="97">
        <v>3</v>
      </c>
      <c r="F7" s="97">
        <v>3</v>
      </c>
      <c r="G7" s="97">
        <v>3</v>
      </c>
    </row>
    <row r="8" spans="1:7" ht="24.95" customHeight="1" x14ac:dyDescent="0.15">
      <c r="A8" s="9"/>
      <c r="B8" s="12" t="s">
        <v>8</v>
      </c>
      <c r="C8" s="87">
        <v>5</v>
      </c>
      <c r="D8" s="97">
        <v>3</v>
      </c>
      <c r="E8" s="97">
        <v>3</v>
      </c>
      <c r="F8" s="97">
        <v>3</v>
      </c>
      <c r="G8" s="97">
        <v>3</v>
      </c>
    </row>
    <row r="9" spans="1:7" ht="24.95" customHeight="1" x14ac:dyDescent="0.15">
      <c r="A9" s="10"/>
      <c r="B9" s="12" t="s">
        <v>137</v>
      </c>
      <c r="C9" s="87">
        <v>5</v>
      </c>
      <c r="D9" s="97">
        <v>3</v>
      </c>
      <c r="E9" s="97">
        <v>3</v>
      </c>
      <c r="F9" s="97">
        <v>2</v>
      </c>
      <c r="G9" s="97">
        <v>3</v>
      </c>
    </row>
    <row r="10" spans="1:7" ht="24.95" customHeight="1" x14ac:dyDescent="0.15">
      <c r="A10" s="442" t="s">
        <v>9</v>
      </c>
      <c r="B10" s="452"/>
      <c r="C10" s="87">
        <f t="shared" ref="C10:G10" si="0">SUM(C3:C9)</f>
        <v>35</v>
      </c>
      <c r="D10" s="331">
        <f t="shared" si="0"/>
        <v>22</v>
      </c>
      <c r="E10" s="331">
        <f t="shared" si="0"/>
        <v>21</v>
      </c>
      <c r="F10" s="331">
        <f t="shared" si="0"/>
        <v>21</v>
      </c>
      <c r="G10" s="331">
        <f t="shared" si="0"/>
        <v>21</v>
      </c>
    </row>
    <row r="11" spans="1:7" ht="24.95" customHeight="1" x14ac:dyDescent="0.15">
      <c r="A11" s="15" t="s">
        <v>136</v>
      </c>
      <c r="B11" s="12" t="s">
        <v>135</v>
      </c>
      <c r="C11" s="87">
        <v>10</v>
      </c>
      <c r="D11" s="405">
        <v>5</v>
      </c>
      <c r="E11" s="405">
        <v>4</v>
      </c>
      <c r="F11" s="405">
        <v>4</v>
      </c>
      <c r="G11" s="405">
        <v>6</v>
      </c>
    </row>
    <row r="12" spans="1:7" ht="24.95" customHeight="1" x14ac:dyDescent="0.15">
      <c r="A12" s="31"/>
      <c r="B12" s="12" t="s">
        <v>134</v>
      </c>
      <c r="C12" s="87">
        <v>10</v>
      </c>
      <c r="D12" s="405">
        <v>4</v>
      </c>
      <c r="E12" s="405">
        <v>4</v>
      </c>
      <c r="F12" s="405">
        <v>5</v>
      </c>
      <c r="G12" s="405">
        <v>6</v>
      </c>
    </row>
    <row r="13" spans="1:7" ht="24.95" customHeight="1" x14ac:dyDescent="0.15">
      <c r="A13" s="30"/>
      <c r="B13" s="12" t="s">
        <v>133</v>
      </c>
      <c r="C13" s="87">
        <v>10</v>
      </c>
      <c r="D13" s="405">
        <v>7</v>
      </c>
      <c r="E13" s="405">
        <v>7</v>
      </c>
      <c r="F13" s="405">
        <v>8</v>
      </c>
      <c r="G13" s="405">
        <v>6</v>
      </c>
    </row>
    <row r="14" spans="1:7" ht="24.95" customHeight="1" x14ac:dyDescent="0.15">
      <c r="A14" s="29"/>
      <c r="B14" s="12" t="s">
        <v>132</v>
      </c>
      <c r="C14" s="87">
        <v>5</v>
      </c>
      <c r="D14" s="405">
        <v>3</v>
      </c>
      <c r="E14" s="405">
        <v>3</v>
      </c>
      <c r="F14" s="405">
        <v>3</v>
      </c>
      <c r="G14" s="405">
        <v>3</v>
      </c>
    </row>
    <row r="15" spans="1:7" ht="24.95" customHeight="1" x14ac:dyDescent="0.15">
      <c r="A15" s="10"/>
      <c r="B15" s="12" t="s">
        <v>131</v>
      </c>
      <c r="C15" s="87">
        <v>10</v>
      </c>
      <c r="D15" s="405">
        <v>4</v>
      </c>
      <c r="E15" s="405">
        <v>7</v>
      </c>
      <c r="F15" s="405">
        <v>7</v>
      </c>
      <c r="G15" s="405">
        <v>3</v>
      </c>
    </row>
    <row r="16" spans="1:7" ht="24.95" customHeight="1" x14ac:dyDescent="0.15">
      <c r="A16" s="14" t="s">
        <v>15</v>
      </c>
      <c r="B16" s="12" t="s">
        <v>130</v>
      </c>
      <c r="C16" s="87">
        <v>5</v>
      </c>
      <c r="D16" s="405">
        <v>3</v>
      </c>
      <c r="E16" s="405">
        <v>2</v>
      </c>
      <c r="F16" s="405">
        <v>3</v>
      </c>
      <c r="G16" s="405">
        <v>3</v>
      </c>
    </row>
    <row r="17" spans="1:7" ht="24.95" customHeight="1" x14ac:dyDescent="0.15">
      <c r="A17" s="9"/>
      <c r="B17" s="12" t="s">
        <v>129</v>
      </c>
      <c r="C17" s="87">
        <v>5</v>
      </c>
      <c r="D17" s="405">
        <v>3</v>
      </c>
      <c r="E17" s="405">
        <v>3</v>
      </c>
      <c r="F17" s="405">
        <v>2</v>
      </c>
      <c r="G17" s="405">
        <v>3</v>
      </c>
    </row>
    <row r="18" spans="1:7" ht="24.95" customHeight="1" x14ac:dyDescent="0.15">
      <c r="A18" s="9"/>
      <c r="B18" s="12" t="s">
        <v>128</v>
      </c>
      <c r="C18" s="87">
        <v>5</v>
      </c>
      <c r="D18" s="405">
        <v>3</v>
      </c>
      <c r="E18" s="405">
        <v>3</v>
      </c>
      <c r="F18" s="405">
        <v>2</v>
      </c>
      <c r="G18" s="405">
        <v>3</v>
      </c>
    </row>
    <row r="19" spans="1:7" ht="24.95" customHeight="1" x14ac:dyDescent="0.15">
      <c r="A19" s="9"/>
      <c r="B19" s="12" t="s">
        <v>127</v>
      </c>
      <c r="C19" s="87">
        <v>5</v>
      </c>
      <c r="D19" s="405">
        <v>3</v>
      </c>
      <c r="E19" s="405">
        <v>2</v>
      </c>
      <c r="F19" s="405">
        <v>3</v>
      </c>
      <c r="G19" s="405">
        <v>3</v>
      </c>
    </row>
    <row r="20" spans="1:7" ht="24.95" customHeight="1" x14ac:dyDescent="0.15">
      <c r="A20" s="10"/>
      <c r="B20" s="12" t="s">
        <v>126</v>
      </c>
      <c r="C20" s="87">
        <v>5</v>
      </c>
      <c r="D20" s="405">
        <v>3</v>
      </c>
      <c r="E20" s="405">
        <v>3</v>
      </c>
      <c r="F20" s="405">
        <v>3</v>
      </c>
      <c r="G20" s="405">
        <v>3</v>
      </c>
    </row>
    <row r="21" spans="1:7" ht="24.95" customHeight="1" x14ac:dyDescent="0.15">
      <c r="A21" s="442" t="s">
        <v>9</v>
      </c>
      <c r="B21" s="442"/>
      <c r="C21" s="87">
        <f t="shared" ref="C21:G21" si="1">SUM(C11:C20)</f>
        <v>70</v>
      </c>
      <c r="D21" s="36">
        <f t="shared" si="1"/>
        <v>38</v>
      </c>
      <c r="E21" s="36">
        <f t="shared" si="1"/>
        <v>38</v>
      </c>
      <c r="F21" s="36">
        <f t="shared" si="1"/>
        <v>40</v>
      </c>
      <c r="G21" s="36">
        <f t="shared" si="1"/>
        <v>39</v>
      </c>
    </row>
    <row r="22" spans="1:7" ht="24.95" customHeight="1" x14ac:dyDescent="0.15">
      <c r="A22" s="453" t="s">
        <v>19</v>
      </c>
      <c r="B22" s="453"/>
      <c r="C22" s="87">
        <f t="shared" ref="C22:G22" si="2">C10+C21</f>
        <v>105</v>
      </c>
      <c r="D22" s="36">
        <f t="shared" si="2"/>
        <v>60</v>
      </c>
      <c r="E22" s="36">
        <f t="shared" si="2"/>
        <v>59</v>
      </c>
      <c r="F22" s="36">
        <f t="shared" si="2"/>
        <v>61</v>
      </c>
      <c r="G22" s="36">
        <f t="shared" si="2"/>
        <v>60</v>
      </c>
    </row>
    <row r="23" spans="1:7" ht="9.9499999999999993" customHeight="1" x14ac:dyDescent="0.15">
      <c r="D23" s="82"/>
      <c r="E23" s="82"/>
      <c r="F23" s="82"/>
      <c r="G23" s="82"/>
    </row>
    <row r="24" spans="1:7" ht="30" customHeight="1" x14ac:dyDescent="0.15">
      <c r="A24" s="442" t="s">
        <v>189</v>
      </c>
      <c r="B24" s="442"/>
      <c r="C24" s="87"/>
      <c r="D24" s="37">
        <v>0.35</v>
      </c>
      <c r="E24" s="37">
        <v>0.35</v>
      </c>
      <c r="F24" s="37">
        <v>0.35</v>
      </c>
      <c r="G24" s="93"/>
    </row>
    <row r="25" spans="1:7" ht="30" customHeight="1" x14ac:dyDescent="0.15">
      <c r="A25" s="442" t="s">
        <v>190</v>
      </c>
      <c r="B25" s="442"/>
      <c r="C25" s="87"/>
      <c r="D25" s="95">
        <f>D22*(1-D24)</f>
        <v>39</v>
      </c>
      <c r="E25" s="95">
        <f>E22*(1-E24)</f>
        <v>38.35</v>
      </c>
      <c r="F25" s="95">
        <f>F22*(1-F24)</f>
        <v>39.65</v>
      </c>
      <c r="G25" s="95">
        <f t="shared" ref="G25" si="3">G22*(1-G24)</f>
        <v>60</v>
      </c>
    </row>
    <row r="26" spans="1:7" ht="9.9499999999999993" customHeight="1" x14ac:dyDescent="0.15">
      <c r="A26" s="4"/>
      <c r="B26" s="4"/>
      <c r="C26" s="83"/>
      <c r="D26" s="83"/>
      <c r="E26" s="83"/>
      <c r="F26" s="83"/>
      <c r="G26" s="83"/>
    </row>
    <row r="27" spans="1:7" ht="30" customHeight="1" x14ac:dyDescent="0.15">
      <c r="A27" s="445" t="s">
        <v>185</v>
      </c>
      <c r="B27" s="445"/>
      <c r="C27" s="104"/>
      <c r="D27" s="89">
        <f>管理職_製造!J35</f>
        <v>31</v>
      </c>
      <c r="E27" s="89">
        <f>管理職_製造!H35</f>
        <v>27</v>
      </c>
      <c r="F27" s="89">
        <f>管理職_製造!F35</f>
        <v>27</v>
      </c>
      <c r="G27" s="89"/>
    </row>
    <row r="28" spans="1:7" ht="30" customHeight="1" x14ac:dyDescent="0.15">
      <c r="A28" s="446" t="s">
        <v>186</v>
      </c>
      <c r="B28" s="446"/>
      <c r="C28" s="104"/>
      <c r="D28" s="99">
        <f>D27/75*100</f>
        <v>41.333333333333336</v>
      </c>
      <c r="E28" s="99">
        <f>E27/75*100</f>
        <v>36</v>
      </c>
      <c r="F28" s="99">
        <f>F27/75*100</f>
        <v>36</v>
      </c>
      <c r="G28" s="89"/>
    </row>
    <row r="29" spans="1:7" ht="30" customHeight="1" x14ac:dyDescent="0.15">
      <c r="A29" s="445" t="s">
        <v>187</v>
      </c>
      <c r="B29" s="445"/>
      <c r="C29" s="104"/>
      <c r="D29" s="100">
        <v>0.35</v>
      </c>
      <c r="E29" s="100">
        <v>0.35</v>
      </c>
      <c r="F29" s="100">
        <v>0.35</v>
      </c>
      <c r="G29" s="89"/>
    </row>
    <row r="30" spans="1:7" ht="30" customHeight="1" x14ac:dyDescent="0.15">
      <c r="A30" s="446" t="s">
        <v>188</v>
      </c>
      <c r="B30" s="446"/>
      <c r="C30" s="104"/>
      <c r="D30" s="106">
        <f>D28*D29</f>
        <v>14.466666666666667</v>
      </c>
      <c r="E30" s="106">
        <f t="shared" ref="E30:F30" si="4">E28*E29</f>
        <v>12.6</v>
      </c>
      <c r="F30" s="106">
        <f t="shared" si="4"/>
        <v>12.6</v>
      </c>
      <c r="G30" s="105"/>
    </row>
    <row r="31" spans="1:7" ht="9.9499999999999993" customHeight="1" x14ac:dyDescent="0.15">
      <c r="A31" s="4"/>
      <c r="B31" s="4"/>
      <c r="C31" s="83"/>
      <c r="D31" s="83"/>
      <c r="E31" s="83"/>
      <c r="F31" s="83"/>
      <c r="G31" s="83"/>
    </row>
    <row r="32" spans="1:7" ht="30" customHeight="1" x14ac:dyDescent="0.15">
      <c r="A32" s="448" t="s">
        <v>179</v>
      </c>
      <c r="B32" s="449"/>
      <c r="C32" s="90"/>
      <c r="D32" s="39">
        <v>2</v>
      </c>
      <c r="E32" s="39">
        <v>0</v>
      </c>
      <c r="F32" s="39">
        <v>1</v>
      </c>
      <c r="G32" s="39">
        <v>1</v>
      </c>
    </row>
    <row r="33" spans="1:7" ht="30" customHeight="1" x14ac:dyDescent="0.15">
      <c r="A33" s="448" t="s">
        <v>180</v>
      </c>
      <c r="B33" s="449"/>
      <c r="C33" s="90"/>
      <c r="D33" s="39">
        <v>0</v>
      </c>
      <c r="E33" s="39">
        <v>1</v>
      </c>
      <c r="F33" s="39">
        <v>0</v>
      </c>
      <c r="G33" s="39">
        <v>0</v>
      </c>
    </row>
    <row r="34" spans="1:7" ht="9.9499999999999993" customHeight="1" x14ac:dyDescent="0.15">
      <c r="A34" s="61"/>
      <c r="B34" s="61"/>
      <c r="C34" s="61"/>
      <c r="D34" s="83"/>
      <c r="E34" s="83"/>
      <c r="F34" s="83"/>
      <c r="G34" s="83"/>
    </row>
    <row r="35" spans="1:7" ht="30" customHeight="1" x14ac:dyDescent="0.15">
      <c r="A35" s="442" t="s">
        <v>181</v>
      </c>
      <c r="B35" s="442"/>
      <c r="C35" s="90"/>
      <c r="D35" s="39">
        <f>D33-D32</f>
        <v>-2</v>
      </c>
      <c r="E35" s="39">
        <f t="shared" ref="E35:G35" si="5">E33-E32</f>
        <v>1</v>
      </c>
      <c r="F35" s="39">
        <f t="shared" si="5"/>
        <v>-1</v>
      </c>
      <c r="G35" s="39">
        <f t="shared" si="5"/>
        <v>-1</v>
      </c>
    </row>
    <row r="36" spans="1:7" ht="30" customHeight="1" x14ac:dyDescent="0.15">
      <c r="A36" s="442" t="s">
        <v>182</v>
      </c>
      <c r="B36" s="442"/>
      <c r="C36" s="90"/>
      <c r="D36" s="96">
        <f>D25+D30+D35</f>
        <v>51.466666666666669</v>
      </c>
      <c r="E36" s="96">
        <f>E25+E30+E35</f>
        <v>51.95</v>
      </c>
      <c r="F36" s="96">
        <f>F25+F30+F35</f>
        <v>51.25</v>
      </c>
      <c r="G36" s="96">
        <f t="shared" ref="G36" si="6">G25+G30+G35</f>
        <v>59</v>
      </c>
    </row>
    <row r="37" spans="1:7" ht="9.9499999999999993" customHeight="1" x14ac:dyDescent="0.15">
      <c r="A37" s="61"/>
      <c r="B37" s="61"/>
      <c r="C37" s="61"/>
      <c r="D37" s="82"/>
      <c r="E37" s="82"/>
      <c r="F37" s="82"/>
      <c r="G37" s="82"/>
    </row>
    <row r="38" spans="1:7" ht="30" customHeight="1" x14ac:dyDescent="0.15">
      <c r="A38" s="442" t="s">
        <v>183</v>
      </c>
      <c r="B38" s="442"/>
      <c r="C38" s="90"/>
      <c r="D38" s="48">
        <f>D36</f>
        <v>51.466666666666669</v>
      </c>
      <c r="E38" s="48">
        <f t="shared" ref="E38:G38" si="7">E36</f>
        <v>51.95</v>
      </c>
      <c r="F38" s="48">
        <f t="shared" si="7"/>
        <v>51.25</v>
      </c>
      <c r="G38" s="48">
        <f t="shared" si="7"/>
        <v>59</v>
      </c>
    </row>
    <row r="39" spans="1:7" ht="30" customHeight="1" x14ac:dyDescent="0.15">
      <c r="A39" s="451" t="s">
        <v>184</v>
      </c>
      <c r="B39" s="451"/>
      <c r="C39" s="103"/>
      <c r="D39" s="52">
        <f>INT(D38+0.5)</f>
        <v>51</v>
      </c>
      <c r="E39" s="52">
        <f t="shared" ref="E39:G39" si="8">INT(E38+0.5)</f>
        <v>52</v>
      </c>
      <c r="F39" s="52">
        <f t="shared" si="8"/>
        <v>51</v>
      </c>
      <c r="G39" s="52">
        <f t="shared" si="8"/>
        <v>59</v>
      </c>
    </row>
  </sheetData>
  <mergeCells count="16">
    <mergeCell ref="A35:B35"/>
    <mergeCell ref="A36:B36"/>
    <mergeCell ref="A38:B38"/>
    <mergeCell ref="A39:B39"/>
    <mergeCell ref="A27:B27"/>
    <mergeCell ref="A28:B28"/>
    <mergeCell ref="A29:B29"/>
    <mergeCell ref="A30:B30"/>
    <mergeCell ref="A32:B32"/>
    <mergeCell ref="A33:B33"/>
    <mergeCell ref="A25:B25"/>
    <mergeCell ref="A2:B2"/>
    <mergeCell ref="A10:B10"/>
    <mergeCell ref="A21:B21"/>
    <mergeCell ref="A22:B22"/>
    <mergeCell ref="A24:B24"/>
  </mergeCells>
  <phoneticPr fontId="16"/>
  <pageMargins left="0.7" right="0.7" top="0.75" bottom="0.75" header="0.3" footer="0.3"/>
  <pageSetup paperSize="9" scale="62"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A1:D36"/>
  <sheetViews>
    <sheetView topLeftCell="A28" zoomScale="80" zoomScaleNormal="80" workbookViewId="0">
      <selection activeCell="D2" sqref="D2"/>
    </sheetView>
  </sheetViews>
  <sheetFormatPr defaultColWidth="9.625" defaultRowHeight="19.5" x14ac:dyDescent="0.15"/>
  <cols>
    <col min="1" max="1" width="9.625" style="5"/>
    <col min="2" max="2" width="36.5" style="5" bestFit="1" customWidth="1"/>
    <col min="3" max="3" width="6.625" style="82" bestFit="1" customWidth="1"/>
    <col min="4" max="4" width="14.125" style="5" customWidth="1"/>
    <col min="5" max="16384" width="9.625" style="5"/>
  </cols>
  <sheetData>
    <row r="1" spans="1:4" ht="39.950000000000003" customHeight="1" x14ac:dyDescent="0.15">
      <c r="A1" s="32" t="s">
        <v>138</v>
      </c>
    </row>
    <row r="2" spans="1:4" ht="24.95" customHeight="1" x14ac:dyDescent="0.15">
      <c r="A2" s="442" t="s">
        <v>0</v>
      </c>
      <c r="B2" s="442"/>
      <c r="C2" s="36" t="s">
        <v>1</v>
      </c>
      <c r="D2" s="86"/>
    </row>
    <row r="3" spans="1:4" ht="24.95" customHeight="1" x14ac:dyDescent="0.15">
      <c r="A3" s="9"/>
      <c r="B3" s="10" t="s">
        <v>2</v>
      </c>
      <c r="C3" s="88">
        <v>5</v>
      </c>
      <c r="D3" s="97">
        <v>4</v>
      </c>
    </row>
    <row r="4" spans="1:4" ht="24.95" customHeight="1" x14ac:dyDescent="0.15">
      <c r="A4" s="9"/>
      <c r="B4" s="12" t="s">
        <v>3</v>
      </c>
      <c r="C4" s="87">
        <v>5</v>
      </c>
      <c r="D4" s="97">
        <v>4</v>
      </c>
    </row>
    <row r="5" spans="1:4" ht="24.95" customHeight="1" x14ac:dyDescent="0.15">
      <c r="A5" s="9" t="s">
        <v>4</v>
      </c>
      <c r="B5" s="12" t="s">
        <v>5</v>
      </c>
      <c r="C5" s="87">
        <v>5</v>
      </c>
      <c r="D5" s="97">
        <v>3</v>
      </c>
    </row>
    <row r="6" spans="1:4" ht="24.95" customHeight="1" x14ac:dyDescent="0.15">
      <c r="A6" s="9"/>
      <c r="B6" s="12" t="s">
        <v>6</v>
      </c>
      <c r="C6" s="87">
        <v>5</v>
      </c>
      <c r="D6" s="97">
        <v>3</v>
      </c>
    </row>
    <row r="7" spans="1:4" ht="24.95" customHeight="1" x14ac:dyDescent="0.15">
      <c r="A7" s="9"/>
      <c r="B7" s="12" t="s">
        <v>7</v>
      </c>
      <c r="C7" s="87">
        <v>5</v>
      </c>
      <c r="D7" s="97">
        <v>4</v>
      </c>
    </row>
    <row r="8" spans="1:4" ht="24.95" customHeight="1" x14ac:dyDescent="0.15">
      <c r="A8" s="9"/>
      <c r="B8" s="12" t="s">
        <v>8</v>
      </c>
      <c r="C8" s="87">
        <v>5</v>
      </c>
      <c r="D8" s="97">
        <v>2</v>
      </c>
    </row>
    <row r="9" spans="1:4" ht="24.95" customHeight="1" x14ac:dyDescent="0.15">
      <c r="A9" s="10"/>
      <c r="B9" s="12" t="s">
        <v>137</v>
      </c>
      <c r="C9" s="87">
        <v>5</v>
      </c>
      <c r="D9" s="97">
        <v>3</v>
      </c>
    </row>
    <row r="10" spans="1:4" ht="24.95" customHeight="1" x14ac:dyDescent="0.15">
      <c r="A10" s="442" t="s">
        <v>9</v>
      </c>
      <c r="B10" s="452"/>
      <c r="C10" s="87">
        <f t="shared" ref="C10:D10" si="0">SUM(C3:C9)</f>
        <v>35</v>
      </c>
      <c r="D10" s="331">
        <f t="shared" si="0"/>
        <v>23</v>
      </c>
    </row>
    <row r="11" spans="1:4" ht="24.95" customHeight="1" x14ac:dyDescent="0.15">
      <c r="A11" s="15" t="s">
        <v>136</v>
      </c>
      <c r="B11" s="12" t="s">
        <v>331</v>
      </c>
      <c r="C11" s="87">
        <v>10</v>
      </c>
      <c r="D11" s="98">
        <v>7</v>
      </c>
    </row>
    <row r="12" spans="1:4" ht="24.95" customHeight="1" x14ac:dyDescent="0.15">
      <c r="A12" s="31"/>
      <c r="B12" s="12" t="s">
        <v>330</v>
      </c>
      <c r="C12" s="87">
        <v>10</v>
      </c>
      <c r="D12" s="98">
        <v>5</v>
      </c>
    </row>
    <row r="13" spans="1:4" ht="24.95" customHeight="1" x14ac:dyDescent="0.15">
      <c r="A13" s="10"/>
      <c r="B13" s="12" t="s">
        <v>328</v>
      </c>
      <c r="C13" s="87">
        <v>10</v>
      </c>
      <c r="D13" s="98">
        <v>5</v>
      </c>
    </row>
    <row r="14" spans="1:4" ht="24.95" customHeight="1" x14ac:dyDescent="0.15">
      <c r="A14" s="14" t="s">
        <v>15</v>
      </c>
      <c r="B14" s="12" t="s">
        <v>333</v>
      </c>
      <c r="C14" s="87">
        <v>10</v>
      </c>
      <c r="D14" s="98">
        <v>8</v>
      </c>
    </row>
    <row r="15" spans="1:4" ht="24.95" customHeight="1" x14ac:dyDescent="0.15">
      <c r="A15" s="9"/>
      <c r="B15" s="12" t="s">
        <v>128</v>
      </c>
      <c r="C15" s="87">
        <v>10</v>
      </c>
      <c r="D15" s="98">
        <v>6</v>
      </c>
    </row>
    <row r="16" spans="1:4" ht="24.95" customHeight="1" x14ac:dyDescent="0.15">
      <c r="A16" s="9"/>
      <c r="B16" s="12" t="s">
        <v>329</v>
      </c>
      <c r="C16" s="87">
        <v>10</v>
      </c>
      <c r="D16" s="98">
        <v>7</v>
      </c>
    </row>
    <row r="17" spans="1:4" ht="24.95" customHeight="1" x14ac:dyDescent="0.15">
      <c r="A17" s="9"/>
      <c r="B17" s="12" t="s">
        <v>332</v>
      </c>
      <c r="C17" s="87">
        <v>10</v>
      </c>
      <c r="D17" s="98">
        <v>5</v>
      </c>
    </row>
    <row r="18" spans="1:4" ht="24.95" customHeight="1" x14ac:dyDescent="0.15">
      <c r="A18" s="442" t="s">
        <v>9</v>
      </c>
      <c r="B18" s="442"/>
      <c r="C18" s="87">
        <f>SUM(C11:C17)</f>
        <v>70</v>
      </c>
      <c r="D18" s="36">
        <f>SUM(D11:D17)</f>
        <v>43</v>
      </c>
    </row>
    <row r="19" spans="1:4" ht="24.95" customHeight="1" x14ac:dyDescent="0.15">
      <c r="A19" s="453" t="s">
        <v>19</v>
      </c>
      <c r="B19" s="453"/>
      <c r="C19" s="87">
        <f>C10+C18</f>
        <v>105</v>
      </c>
      <c r="D19" s="36">
        <f>D10+D18</f>
        <v>66</v>
      </c>
    </row>
    <row r="20" spans="1:4" ht="9.9499999999999993" customHeight="1" x14ac:dyDescent="0.15">
      <c r="D20" s="82"/>
    </row>
    <row r="21" spans="1:4" ht="30" customHeight="1" x14ac:dyDescent="0.15">
      <c r="A21" s="442" t="s">
        <v>189</v>
      </c>
      <c r="B21" s="442"/>
      <c r="C21" s="87"/>
      <c r="D21" s="37">
        <v>0.55000000000000004</v>
      </c>
    </row>
    <row r="22" spans="1:4" ht="30" customHeight="1" x14ac:dyDescent="0.15">
      <c r="A22" s="442" t="s">
        <v>190</v>
      </c>
      <c r="B22" s="442"/>
      <c r="C22" s="87"/>
      <c r="D22" s="95">
        <f>D19*(1-D21)</f>
        <v>29.699999999999996</v>
      </c>
    </row>
    <row r="23" spans="1:4" ht="9.9499999999999993" customHeight="1" x14ac:dyDescent="0.15">
      <c r="A23" s="4"/>
      <c r="B23" s="4"/>
      <c r="C23" s="83"/>
      <c r="D23" s="83"/>
    </row>
    <row r="24" spans="1:4" ht="30" customHeight="1" x14ac:dyDescent="0.15">
      <c r="A24" s="445" t="s">
        <v>185</v>
      </c>
      <c r="B24" s="445"/>
      <c r="C24" s="104"/>
      <c r="D24" s="89">
        <f>管理職_IMGER!E35</f>
        <v>40</v>
      </c>
    </row>
    <row r="25" spans="1:4" ht="30" customHeight="1" x14ac:dyDescent="0.15">
      <c r="A25" s="446" t="s">
        <v>186</v>
      </c>
      <c r="B25" s="446"/>
      <c r="C25" s="104"/>
      <c r="D25" s="99">
        <f>D24/75*100</f>
        <v>53.333333333333336</v>
      </c>
    </row>
    <row r="26" spans="1:4" ht="30" customHeight="1" x14ac:dyDescent="0.15">
      <c r="A26" s="445" t="s">
        <v>187</v>
      </c>
      <c r="B26" s="445"/>
      <c r="C26" s="104"/>
      <c r="D26" s="100">
        <v>0.55000000000000004</v>
      </c>
    </row>
    <row r="27" spans="1:4" ht="30" customHeight="1" x14ac:dyDescent="0.15">
      <c r="A27" s="446" t="s">
        <v>188</v>
      </c>
      <c r="B27" s="446"/>
      <c r="C27" s="104"/>
      <c r="D27" s="106">
        <f>D25*D26</f>
        <v>29.333333333333336</v>
      </c>
    </row>
    <row r="28" spans="1:4" ht="9.9499999999999993" customHeight="1" x14ac:dyDescent="0.15">
      <c r="A28" s="4"/>
      <c r="B28" s="4"/>
      <c r="C28" s="83"/>
      <c r="D28" s="83"/>
    </row>
    <row r="29" spans="1:4" ht="30" customHeight="1" x14ac:dyDescent="0.15">
      <c r="A29" s="448" t="s">
        <v>179</v>
      </c>
      <c r="B29" s="449"/>
      <c r="C29" s="90"/>
      <c r="D29" s="39">
        <v>0</v>
      </c>
    </row>
    <row r="30" spans="1:4" ht="30" customHeight="1" x14ac:dyDescent="0.15">
      <c r="A30" s="448" t="s">
        <v>180</v>
      </c>
      <c r="B30" s="449"/>
      <c r="C30" s="90"/>
      <c r="D30" s="39">
        <v>1</v>
      </c>
    </row>
    <row r="31" spans="1:4" ht="9.9499999999999993" customHeight="1" x14ac:dyDescent="0.15">
      <c r="A31" s="61"/>
      <c r="B31" s="61"/>
      <c r="C31" s="61"/>
      <c r="D31" s="83"/>
    </row>
    <row r="32" spans="1:4" ht="30" customHeight="1" x14ac:dyDescent="0.15">
      <c r="A32" s="442" t="s">
        <v>181</v>
      </c>
      <c r="B32" s="442"/>
      <c r="C32" s="90"/>
      <c r="D32" s="39">
        <f>D30-D29</f>
        <v>1</v>
      </c>
    </row>
    <row r="33" spans="1:4" ht="30" customHeight="1" x14ac:dyDescent="0.15">
      <c r="A33" s="442" t="s">
        <v>182</v>
      </c>
      <c r="B33" s="442"/>
      <c r="C33" s="90"/>
      <c r="D33" s="96">
        <f>D22+D27+D32</f>
        <v>60.033333333333331</v>
      </c>
    </row>
    <row r="34" spans="1:4" ht="9.9499999999999993" customHeight="1" x14ac:dyDescent="0.15">
      <c r="A34" s="61"/>
      <c r="B34" s="61"/>
      <c r="C34" s="61"/>
      <c r="D34" s="82"/>
    </row>
    <row r="35" spans="1:4" ht="30" customHeight="1" x14ac:dyDescent="0.15">
      <c r="A35" s="442" t="s">
        <v>183</v>
      </c>
      <c r="B35" s="442"/>
      <c r="C35" s="90"/>
      <c r="D35" s="48">
        <f>D33</f>
        <v>60.033333333333331</v>
      </c>
    </row>
    <row r="36" spans="1:4" ht="30" customHeight="1" x14ac:dyDescent="0.15">
      <c r="A36" s="451" t="s">
        <v>184</v>
      </c>
      <c r="B36" s="451"/>
      <c r="C36" s="103"/>
      <c r="D36" s="52">
        <f>INT(D35+0.5)</f>
        <v>60</v>
      </c>
    </row>
  </sheetData>
  <mergeCells count="16">
    <mergeCell ref="A22:B22"/>
    <mergeCell ref="A2:B2"/>
    <mergeCell ref="A10:B10"/>
    <mergeCell ref="A18:B18"/>
    <mergeCell ref="A19:B19"/>
    <mergeCell ref="A21:B21"/>
    <mergeCell ref="A32:B32"/>
    <mergeCell ref="A33:B33"/>
    <mergeCell ref="A35:B35"/>
    <mergeCell ref="A36:B36"/>
    <mergeCell ref="A24:B24"/>
    <mergeCell ref="A25:B25"/>
    <mergeCell ref="A26:B26"/>
    <mergeCell ref="A27:B27"/>
    <mergeCell ref="A29:B29"/>
    <mergeCell ref="A30:B30"/>
  </mergeCells>
  <phoneticPr fontId="16"/>
  <pageMargins left="0.7" right="0.7" top="0.75" bottom="0.75" header="0.3" footer="0.3"/>
  <pageSetup paperSize="9" scale="62"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sheetPr>
  <dimension ref="A1:I29"/>
  <sheetViews>
    <sheetView zoomScale="80" zoomScaleNormal="80" workbookViewId="0">
      <selection activeCell="D3" sqref="D3:G3"/>
    </sheetView>
  </sheetViews>
  <sheetFormatPr defaultColWidth="12" defaultRowHeight="24.95" customHeight="1" x14ac:dyDescent="0.15"/>
  <cols>
    <col min="1" max="1" width="12" style="53"/>
    <col min="2" max="2" width="29.875" style="53" customWidth="1"/>
    <col min="3" max="3" width="5.875" style="53" customWidth="1"/>
    <col min="4" max="7" width="12" style="53"/>
    <col min="8" max="16384" width="12" style="33"/>
  </cols>
  <sheetData>
    <row r="1" spans="1:9" s="34" customFormat="1" ht="24.95" customHeight="1" x14ac:dyDescent="0.15">
      <c r="A1" s="84" t="s">
        <v>155</v>
      </c>
      <c r="B1" s="67"/>
      <c r="C1" s="67"/>
      <c r="D1" s="67"/>
      <c r="E1" s="67"/>
      <c r="F1" s="67"/>
      <c r="G1" s="67"/>
    </row>
    <row r="2" spans="1:9" ht="24.95" customHeight="1" x14ac:dyDescent="0.15">
      <c r="A2" s="67" t="s">
        <v>254</v>
      </c>
    </row>
    <row r="3" spans="1:9" s="57" customFormat="1" ht="24.95" customHeight="1" x14ac:dyDescent="0.15">
      <c r="A3" s="71"/>
      <c r="B3" s="71" t="s">
        <v>153</v>
      </c>
      <c r="C3" s="71" t="s">
        <v>152</v>
      </c>
      <c r="D3" s="71"/>
      <c r="E3" s="72"/>
      <c r="F3" s="73"/>
      <c r="G3" s="73"/>
    </row>
    <row r="4" spans="1:9" ht="24.95" customHeight="1" x14ac:dyDescent="0.15">
      <c r="A4" s="454" t="s">
        <v>151</v>
      </c>
      <c r="B4" s="62" t="s">
        <v>150</v>
      </c>
      <c r="C4" s="75">
        <v>5</v>
      </c>
      <c r="D4" s="322"/>
      <c r="E4" s="323">
        <v>3</v>
      </c>
      <c r="F4" s="322">
        <v>3</v>
      </c>
      <c r="G4" s="322">
        <v>3</v>
      </c>
    </row>
    <row r="5" spans="1:9" ht="24.95" customHeight="1" x14ac:dyDescent="0.15">
      <c r="A5" s="455"/>
      <c r="B5" s="63" t="s">
        <v>149</v>
      </c>
      <c r="C5" s="76">
        <v>5</v>
      </c>
      <c r="D5" s="318"/>
      <c r="E5" s="324">
        <v>3</v>
      </c>
      <c r="F5" s="319">
        <v>3</v>
      </c>
      <c r="G5" s="319">
        <v>3</v>
      </c>
    </row>
    <row r="6" spans="1:9" ht="24.95" customHeight="1" x14ac:dyDescent="0.15">
      <c r="A6" s="455"/>
      <c r="B6" s="63" t="s">
        <v>142</v>
      </c>
      <c r="C6" s="76">
        <v>5</v>
      </c>
      <c r="D6" s="319"/>
      <c r="E6" s="324">
        <v>3</v>
      </c>
      <c r="F6" s="319">
        <v>4</v>
      </c>
      <c r="G6" s="319">
        <v>3</v>
      </c>
    </row>
    <row r="7" spans="1:9" ht="24.95" customHeight="1" x14ac:dyDescent="0.15">
      <c r="A7" s="455"/>
      <c r="B7" s="63" t="s">
        <v>148</v>
      </c>
      <c r="C7" s="76">
        <v>5</v>
      </c>
      <c r="D7" s="319"/>
      <c r="E7" s="324">
        <v>4</v>
      </c>
      <c r="F7" s="319">
        <v>4</v>
      </c>
      <c r="G7" s="319">
        <v>2</v>
      </c>
    </row>
    <row r="8" spans="1:9" ht="24.95" customHeight="1" x14ac:dyDescent="0.15">
      <c r="A8" s="455"/>
      <c r="B8" s="63" t="s">
        <v>147</v>
      </c>
      <c r="C8" s="76">
        <v>5</v>
      </c>
      <c r="D8" s="319"/>
      <c r="E8" s="324">
        <v>3</v>
      </c>
      <c r="F8" s="319">
        <v>3</v>
      </c>
      <c r="G8" s="319">
        <v>2</v>
      </c>
    </row>
    <row r="9" spans="1:9" ht="24.95" customHeight="1" x14ac:dyDescent="0.15">
      <c r="A9" s="455"/>
      <c r="B9" s="63" t="s">
        <v>146</v>
      </c>
      <c r="C9" s="76">
        <v>5</v>
      </c>
      <c r="D9" s="319"/>
      <c r="E9" s="406">
        <v>3</v>
      </c>
      <c r="F9" s="400">
        <v>4</v>
      </c>
      <c r="G9" s="319">
        <v>3</v>
      </c>
    </row>
    <row r="10" spans="1:9" ht="24.95" customHeight="1" x14ac:dyDescent="0.15">
      <c r="A10" s="455"/>
      <c r="B10" s="64" t="s">
        <v>145</v>
      </c>
      <c r="C10" s="78">
        <v>5</v>
      </c>
      <c r="D10" s="342"/>
      <c r="E10" s="343">
        <v>3</v>
      </c>
      <c r="F10" s="342">
        <v>3</v>
      </c>
      <c r="G10" s="342">
        <v>3</v>
      </c>
    </row>
    <row r="11" spans="1:9" ht="24.95" customHeight="1" x14ac:dyDescent="0.15">
      <c r="A11" s="70"/>
      <c r="B11" s="70" t="s">
        <v>140</v>
      </c>
      <c r="C11" s="101">
        <f>SUM(C4:C10)</f>
        <v>35</v>
      </c>
      <c r="D11" s="326">
        <f>SUM(D4:D10)</f>
        <v>0</v>
      </c>
      <c r="E11" s="326">
        <f>SUM(E4:E10)</f>
        <v>22</v>
      </c>
      <c r="F11" s="326">
        <f>SUM(F4:F10)</f>
        <v>24</v>
      </c>
      <c r="G11" s="326">
        <f>SUM(G4:G10)</f>
        <v>19</v>
      </c>
    </row>
    <row r="12" spans="1:9" ht="24.95" customHeight="1" x14ac:dyDescent="0.15">
      <c r="A12" s="454" t="s">
        <v>144</v>
      </c>
      <c r="B12" s="62" t="s">
        <v>293</v>
      </c>
      <c r="C12" s="75">
        <v>10</v>
      </c>
      <c r="D12" s="320"/>
      <c r="E12" s="407">
        <v>4</v>
      </c>
      <c r="F12" s="320">
        <v>4</v>
      </c>
      <c r="G12" s="408">
        <v>5</v>
      </c>
      <c r="I12" s="33" t="s">
        <v>300</v>
      </c>
    </row>
    <row r="13" spans="1:9" ht="24.95" customHeight="1" x14ac:dyDescent="0.15">
      <c r="A13" s="456"/>
      <c r="B13" s="65" t="s">
        <v>294</v>
      </c>
      <c r="C13" s="80">
        <v>10</v>
      </c>
      <c r="D13" s="321"/>
      <c r="E13" s="325">
        <v>6</v>
      </c>
      <c r="F13" s="398">
        <v>7</v>
      </c>
      <c r="G13" s="321">
        <v>5</v>
      </c>
    </row>
    <row r="14" spans="1:9" ht="24.95" customHeight="1" x14ac:dyDescent="0.15">
      <c r="A14" s="454" t="s">
        <v>143</v>
      </c>
      <c r="B14" s="62" t="s">
        <v>295</v>
      </c>
      <c r="C14" s="75">
        <v>10</v>
      </c>
      <c r="D14" s="322"/>
      <c r="E14" s="323">
        <v>6</v>
      </c>
      <c r="F14" s="322">
        <v>6</v>
      </c>
      <c r="G14" s="322">
        <v>6</v>
      </c>
    </row>
    <row r="15" spans="1:9" ht="24.95" customHeight="1" x14ac:dyDescent="0.15">
      <c r="A15" s="455"/>
      <c r="B15" s="63" t="s">
        <v>296</v>
      </c>
      <c r="C15" s="76">
        <v>10</v>
      </c>
      <c r="D15" s="319"/>
      <c r="E15" s="324">
        <v>5</v>
      </c>
      <c r="F15" s="319">
        <v>5</v>
      </c>
      <c r="G15" s="409">
        <v>5</v>
      </c>
    </row>
    <row r="16" spans="1:9" ht="24.95" customHeight="1" x14ac:dyDescent="0.15">
      <c r="A16" s="455"/>
      <c r="B16" s="63" t="s">
        <v>297</v>
      </c>
      <c r="C16" s="76">
        <v>10</v>
      </c>
      <c r="D16" s="319"/>
      <c r="E16" s="406">
        <v>6</v>
      </c>
      <c r="F16" s="319">
        <v>6</v>
      </c>
      <c r="G16" s="319">
        <v>6</v>
      </c>
    </row>
    <row r="17" spans="1:7" ht="24.95" customHeight="1" x14ac:dyDescent="0.15">
      <c r="A17" s="455"/>
      <c r="B17" s="63" t="s">
        <v>298</v>
      </c>
      <c r="C17" s="76">
        <v>10</v>
      </c>
      <c r="D17" s="319"/>
      <c r="E17" s="324">
        <v>6</v>
      </c>
      <c r="F17" s="319">
        <v>5</v>
      </c>
      <c r="G17" s="319">
        <v>5</v>
      </c>
    </row>
    <row r="18" spans="1:7" ht="24.95" customHeight="1" x14ac:dyDescent="0.15">
      <c r="A18" s="455"/>
      <c r="B18" s="64" t="s">
        <v>299</v>
      </c>
      <c r="C18" s="78">
        <v>10</v>
      </c>
      <c r="D18" s="342"/>
      <c r="E18" s="343">
        <v>7</v>
      </c>
      <c r="F18" s="342">
        <v>7</v>
      </c>
      <c r="G18" s="342">
        <v>6</v>
      </c>
    </row>
    <row r="19" spans="1:7" ht="24.95" customHeight="1" x14ac:dyDescent="0.15">
      <c r="A19" s="457"/>
      <c r="B19" s="70" t="s">
        <v>140</v>
      </c>
      <c r="C19" s="101">
        <f>SUM(C12:C18)</f>
        <v>70</v>
      </c>
      <c r="D19" s="326">
        <f>SUM(D12:D18)</f>
        <v>0</v>
      </c>
      <c r="E19" s="326">
        <f>SUM(E12:E18)</f>
        <v>40</v>
      </c>
      <c r="F19" s="326">
        <f>SUM(F12:F18)</f>
        <v>40</v>
      </c>
      <c r="G19" s="326">
        <f>SUM(G12:G18)</f>
        <v>38</v>
      </c>
    </row>
    <row r="20" spans="1:7" ht="24.95" customHeight="1" x14ac:dyDescent="0.15">
      <c r="A20" s="458"/>
      <c r="B20" s="70" t="s">
        <v>139</v>
      </c>
      <c r="C20" s="101">
        <f>SUM(C11,C19)</f>
        <v>105</v>
      </c>
      <c r="D20" s="326">
        <f>SUM(D11,D19)</f>
        <v>0</v>
      </c>
      <c r="E20" s="326">
        <f>SUM(E11,E19)</f>
        <v>62</v>
      </c>
      <c r="F20" s="326">
        <f>SUM(F11,F19)</f>
        <v>64</v>
      </c>
      <c r="G20" s="326">
        <f>SUM(G11,G19)</f>
        <v>57</v>
      </c>
    </row>
    <row r="21" spans="1:7" ht="9.9499999999999993" customHeight="1" x14ac:dyDescent="0.15">
      <c r="A21" s="67"/>
      <c r="B21" s="67"/>
      <c r="C21" s="60"/>
      <c r="D21" s="69"/>
      <c r="E21" s="69"/>
      <c r="F21" s="69"/>
      <c r="G21" s="69"/>
    </row>
    <row r="22" spans="1:7" ht="24.95" customHeight="1" x14ac:dyDescent="0.15">
      <c r="A22" s="448" t="s">
        <v>179</v>
      </c>
      <c r="B22" s="449"/>
      <c r="C22" s="39"/>
      <c r="D22" s="39">
        <v>0</v>
      </c>
      <c r="E22" s="39">
        <v>0</v>
      </c>
      <c r="F22" s="39">
        <v>1</v>
      </c>
      <c r="G22" s="39">
        <v>0</v>
      </c>
    </row>
    <row r="23" spans="1:7" ht="24.95" customHeight="1" x14ac:dyDescent="0.15">
      <c r="A23" s="448" t="s">
        <v>180</v>
      </c>
      <c r="B23" s="449"/>
      <c r="C23" s="39"/>
      <c r="D23" s="39">
        <v>0</v>
      </c>
      <c r="E23" s="39">
        <v>1</v>
      </c>
      <c r="F23" s="39">
        <v>0</v>
      </c>
      <c r="G23" s="39">
        <v>1</v>
      </c>
    </row>
    <row r="24" spans="1:7" ht="9.9499999999999993" customHeight="1" x14ac:dyDescent="0.15">
      <c r="A24" s="5"/>
      <c r="B24" s="5"/>
      <c r="C24" s="82"/>
      <c r="D24" s="83"/>
      <c r="E24" s="83"/>
      <c r="F24" s="83"/>
      <c r="G24" s="83"/>
    </row>
    <row r="25" spans="1:7" ht="24.95" customHeight="1" x14ac:dyDescent="0.15">
      <c r="A25" s="442" t="s">
        <v>181</v>
      </c>
      <c r="B25" s="442"/>
      <c r="C25" s="39"/>
      <c r="D25" s="39">
        <f>D23-D22</f>
        <v>0</v>
      </c>
      <c r="E25" s="39">
        <f t="shared" ref="E25:F25" si="0">E23-E22</f>
        <v>1</v>
      </c>
      <c r="F25" s="39">
        <f t="shared" si="0"/>
        <v>-1</v>
      </c>
      <c r="G25" s="39">
        <f t="shared" ref="G25" si="1">G23-G22</f>
        <v>1</v>
      </c>
    </row>
    <row r="26" spans="1:7" ht="24.95" customHeight="1" x14ac:dyDescent="0.15">
      <c r="A26" s="442" t="s">
        <v>182</v>
      </c>
      <c r="B26" s="442"/>
      <c r="C26" s="39"/>
      <c r="D26" s="39">
        <f>D20+D25</f>
        <v>0</v>
      </c>
      <c r="E26" s="39">
        <f t="shared" ref="E26:F26" si="2">E20+E25</f>
        <v>63</v>
      </c>
      <c r="F26" s="39">
        <f t="shared" si="2"/>
        <v>63</v>
      </c>
      <c r="G26" s="39">
        <f t="shared" ref="G26" si="3">G20+G25</f>
        <v>58</v>
      </c>
    </row>
    <row r="27" spans="1:7" ht="9.9499999999999993" customHeight="1" x14ac:dyDescent="0.15">
      <c r="A27" s="5"/>
      <c r="B27" s="5"/>
      <c r="C27" s="82"/>
      <c r="D27" s="83"/>
      <c r="E27" s="83"/>
      <c r="F27" s="83"/>
      <c r="G27" s="83"/>
    </row>
    <row r="28" spans="1:7" ht="24.95" customHeight="1" x14ac:dyDescent="0.15">
      <c r="A28" s="442" t="s">
        <v>183</v>
      </c>
      <c r="B28" s="442"/>
      <c r="C28" s="39"/>
      <c r="D28" s="48">
        <f>D26</f>
        <v>0</v>
      </c>
      <c r="E28" s="48">
        <f t="shared" ref="E28:F28" si="4">E26</f>
        <v>63</v>
      </c>
      <c r="F28" s="48">
        <f t="shared" si="4"/>
        <v>63</v>
      </c>
      <c r="G28" s="48">
        <f t="shared" ref="G28" si="5">G26</f>
        <v>58</v>
      </c>
    </row>
    <row r="29" spans="1:7" ht="24.95" customHeight="1" x14ac:dyDescent="0.15">
      <c r="A29" s="443" t="s">
        <v>184</v>
      </c>
      <c r="B29" s="443"/>
      <c r="C29" s="103"/>
      <c r="D29" s="52">
        <f>INT(D28+0.5)</f>
        <v>0</v>
      </c>
      <c r="E29" s="52">
        <f t="shared" ref="E29:F29" si="6">INT(E28+0.5)</f>
        <v>63</v>
      </c>
      <c r="F29" s="52">
        <f t="shared" si="6"/>
        <v>63</v>
      </c>
      <c r="G29" s="52">
        <f t="shared" ref="G29" si="7">INT(G28+0.5)</f>
        <v>58</v>
      </c>
    </row>
  </sheetData>
  <mergeCells count="10">
    <mergeCell ref="A29:B29"/>
    <mergeCell ref="A22:B22"/>
    <mergeCell ref="A23:B23"/>
    <mergeCell ref="A25:B25"/>
    <mergeCell ref="A26:B26"/>
    <mergeCell ref="A4:A10"/>
    <mergeCell ref="A12:A13"/>
    <mergeCell ref="A14:A18"/>
    <mergeCell ref="A19:A20"/>
    <mergeCell ref="A28:B28"/>
  </mergeCells>
  <phoneticPr fontId="16"/>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38"/>
  <sheetViews>
    <sheetView zoomScale="75" zoomScaleNormal="75" workbookViewId="0">
      <selection activeCell="D3" sqref="D3:J3"/>
    </sheetView>
  </sheetViews>
  <sheetFormatPr defaultColWidth="12" defaultRowHeight="24.95" customHeight="1" x14ac:dyDescent="0.15"/>
  <cols>
    <col min="1" max="1" width="12" style="67"/>
    <col min="2" max="2" width="28.875" style="67" customWidth="1"/>
    <col min="3" max="3" width="7.625" style="67" customWidth="1"/>
    <col min="4" max="10" width="12" style="53"/>
    <col min="11" max="16384" width="12" style="33"/>
  </cols>
  <sheetData>
    <row r="1" spans="1:10" s="34" customFormat="1" ht="24.95" customHeight="1" x14ac:dyDescent="0.15">
      <c r="A1" s="59" t="s">
        <v>164</v>
      </c>
      <c r="B1" s="60" t="s">
        <v>163</v>
      </c>
      <c r="C1" s="60"/>
      <c r="D1" s="60"/>
      <c r="E1" s="60"/>
      <c r="F1" s="60"/>
      <c r="G1" s="60"/>
      <c r="H1" s="60"/>
      <c r="I1" s="60"/>
      <c r="J1" s="60"/>
    </row>
    <row r="2" spans="1:10" ht="24.95" customHeight="1" x14ac:dyDescent="0.15">
      <c r="A2" s="67" t="s">
        <v>254</v>
      </c>
    </row>
    <row r="3" spans="1:10" s="58" customFormat="1" ht="24.95" customHeight="1" x14ac:dyDescent="0.15">
      <c r="A3" s="55"/>
      <c r="B3" s="55" t="s">
        <v>153</v>
      </c>
      <c r="C3" s="55" t="s">
        <v>152</v>
      </c>
      <c r="D3" s="68"/>
      <c r="E3" s="56"/>
      <c r="F3" s="56"/>
      <c r="G3" s="56"/>
      <c r="H3" s="55"/>
      <c r="I3" s="55"/>
      <c r="J3" s="56"/>
    </row>
    <row r="4" spans="1:10" ht="24.95" customHeight="1" x14ac:dyDescent="0.15">
      <c r="A4" s="454" t="s">
        <v>151</v>
      </c>
      <c r="B4" s="62" t="s">
        <v>150</v>
      </c>
      <c r="C4" s="62">
        <v>5</v>
      </c>
      <c r="D4" s="410">
        <v>3</v>
      </c>
      <c r="E4" s="410">
        <v>3</v>
      </c>
      <c r="F4" s="410">
        <v>2</v>
      </c>
      <c r="G4" s="410">
        <v>3</v>
      </c>
      <c r="H4" s="410">
        <v>3</v>
      </c>
      <c r="I4" s="410">
        <v>2</v>
      </c>
      <c r="J4" s="410">
        <v>3</v>
      </c>
    </row>
    <row r="5" spans="1:10" ht="24.95" customHeight="1" x14ac:dyDescent="0.15">
      <c r="A5" s="455"/>
      <c r="B5" s="63" t="s">
        <v>149</v>
      </c>
      <c r="C5" s="63">
        <v>5</v>
      </c>
      <c r="D5" s="411">
        <v>3</v>
      </c>
      <c r="E5" s="411">
        <v>3</v>
      </c>
      <c r="F5" s="411">
        <v>2</v>
      </c>
      <c r="G5" s="411">
        <v>3</v>
      </c>
      <c r="H5" s="411">
        <v>3</v>
      </c>
      <c r="I5" s="411">
        <v>3</v>
      </c>
      <c r="J5" s="411">
        <v>3</v>
      </c>
    </row>
    <row r="6" spans="1:10" ht="24.95" customHeight="1" x14ac:dyDescent="0.15">
      <c r="A6" s="455"/>
      <c r="B6" s="63" t="s">
        <v>142</v>
      </c>
      <c r="C6" s="63">
        <v>5</v>
      </c>
      <c r="D6" s="411">
        <v>4</v>
      </c>
      <c r="E6" s="411">
        <v>3</v>
      </c>
      <c r="F6" s="411">
        <v>3</v>
      </c>
      <c r="G6" s="411">
        <v>3</v>
      </c>
      <c r="H6" s="411">
        <v>3</v>
      </c>
      <c r="I6" s="411">
        <v>3</v>
      </c>
      <c r="J6" s="411">
        <v>3</v>
      </c>
    </row>
    <row r="7" spans="1:10" ht="24.95" customHeight="1" x14ac:dyDescent="0.15">
      <c r="A7" s="455"/>
      <c r="B7" s="63" t="s">
        <v>148</v>
      </c>
      <c r="C7" s="63">
        <v>5</v>
      </c>
      <c r="D7" s="411">
        <v>3</v>
      </c>
      <c r="E7" s="411">
        <v>3</v>
      </c>
      <c r="F7" s="411">
        <v>3</v>
      </c>
      <c r="G7" s="411">
        <v>3</v>
      </c>
      <c r="H7" s="411">
        <v>3</v>
      </c>
      <c r="I7" s="411">
        <v>3</v>
      </c>
      <c r="J7" s="411">
        <v>3</v>
      </c>
    </row>
    <row r="8" spans="1:10" ht="24.95" customHeight="1" x14ac:dyDescent="0.15">
      <c r="A8" s="455"/>
      <c r="B8" s="63" t="s">
        <v>147</v>
      </c>
      <c r="C8" s="63">
        <v>5</v>
      </c>
      <c r="D8" s="411">
        <v>3</v>
      </c>
      <c r="E8" s="411">
        <v>3</v>
      </c>
      <c r="F8" s="411">
        <v>2</v>
      </c>
      <c r="G8" s="411">
        <v>2</v>
      </c>
      <c r="H8" s="411">
        <v>3</v>
      </c>
      <c r="I8" s="411">
        <v>3</v>
      </c>
      <c r="J8" s="411">
        <v>2</v>
      </c>
    </row>
    <row r="9" spans="1:10" ht="24.95" customHeight="1" x14ac:dyDescent="0.15">
      <c r="A9" s="455"/>
      <c r="B9" s="63" t="s">
        <v>146</v>
      </c>
      <c r="C9" s="63">
        <v>5</v>
      </c>
      <c r="D9" s="411">
        <v>3</v>
      </c>
      <c r="E9" s="411">
        <v>3</v>
      </c>
      <c r="F9" s="411">
        <v>3</v>
      </c>
      <c r="G9" s="411">
        <v>3</v>
      </c>
      <c r="H9" s="411">
        <v>3</v>
      </c>
      <c r="I9" s="411">
        <v>3</v>
      </c>
      <c r="J9" s="411">
        <v>3</v>
      </c>
    </row>
    <row r="10" spans="1:10" ht="24.95" customHeight="1" x14ac:dyDescent="0.15">
      <c r="A10" s="455"/>
      <c r="B10" s="64" t="s">
        <v>145</v>
      </c>
      <c r="C10" s="64">
        <v>5</v>
      </c>
      <c r="D10" s="412">
        <v>4</v>
      </c>
      <c r="E10" s="412">
        <v>3</v>
      </c>
      <c r="F10" s="412">
        <v>2</v>
      </c>
      <c r="G10" s="412">
        <v>2</v>
      </c>
      <c r="H10" s="412">
        <v>3</v>
      </c>
      <c r="I10" s="412">
        <v>2</v>
      </c>
      <c r="J10" s="412">
        <v>3</v>
      </c>
    </row>
    <row r="11" spans="1:10" ht="24.95" customHeight="1" x14ac:dyDescent="0.15">
      <c r="A11" s="70"/>
      <c r="B11" s="70" t="s">
        <v>140</v>
      </c>
      <c r="C11" s="70">
        <f t="shared" ref="C11:J11" si="0">SUM(C4:C10)</f>
        <v>35</v>
      </c>
      <c r="D11" s="344">
        <f t="shared" si="0"/>
        <v>23</v>
      </c>
      <c r="E11" s="344">
        <f t="shared" si="0"/>
        <v>21</v>
      </c>
      <c r="F11" s="344">
        <f t="shared" si="0"/>
        <v>17</v>
      </c>
      <c r="G11" s="344">
        <f t="shared" si="0"/>
        <v>19</v>
      </c>
      <c r="H11" s="344">
        <f t="shared" si="0"/>
        <v>21</v>
      </c>
      <c r="I11" s="344">
        <f t="shared" si="0"/>
        <v>19</v>
      </c>
      <c r="J11" s="344">
        <f t="shared" si="0"/>
        <v>20</v>
      </c>
    </row>
    <row r="12" spans="1:10" ht="24.95" customHeight="1" x14ac:dyDescent="0.15">
      <c r="A12" s="454" t="s">
        <v>144</v>
      </c>
      <c r="B12" s="62" t="s">
        <v>162</v>
      </c>
      <c r="C12" s="62">
        <v>10</v>
      </c>
      <c r="D12" s="410">
        <v>4</v>
      </c>
      <c r="E12" s="410">
        <v>5</v>
      </c>
      <c r="F12" s="410">
        <v>3</v>
      </c>
      <c r="G12" s="410">
        <v>4</v>
      </c>
      <c r="H12" s="410">
        <v>6</v>
      </c>
      <c r="I12" s="410">
        <v>4</v>
      </c>
      <c r="J12" s="410">
        <v>5</v>
      </c>
    </row>
    <row r="13" spans="1:10" ht="24.95" customHeight="1" x14ac:dyDescent="0.15">
      <c r="A13" s="455"/>
      <c r="B13" s="63" t="s">
        <v>161</v>
      </c>
      <c r="C13" s="63">
        <v>5</v>
      </c>
      <c r="D13" s="411">
        <v>3</v>
      </c>
      <c r="E13" s="411">
        <v>3</v>
      </c>
      <c r="F13" s="411">
        <v>3</v>
      </c>
      <c r="G13" s="411">
        <v>3</v>
      </c>
      <c r="H13" s="411">
        <v>3</v>
      </c>
      <c r="I13" s="411">
        <v>3</v>
      </c>
      <c r="J13" s="411">
        <v>3</v>
      </c>
    </row>
    <row r="14" spans="1:10" ht="24.95" customHeight="1" x14ac:dyDescent="0.15">
      <c r="A14" s="455"/>
      <c r="B14" s="63" t="s">
        <v>160</v>
      </c>
      <c r="C14" s="63">
        <v>10</v>
      </c>
      <c r="D14" s="411">
        <v>7</v>
      </c>
      <c r="E14" s="411">
        <v>6</v>
      </c>
      <c r="F14" s="411">
        <v>5</v>
      </c>
      <c r="G14" s="411">
        <v>7</v>
      </c>
      <c r="H14" s="411">
        <v>6</v>
      </c>
      <c r="I14" s="411">
        <v>5</v>
      </c>
      <c r="J14" s="411">
        <v>6</v>
      </c>
    </row>
    <row r="15" spans="1:10" ht="24.95" customHeight="1" x14ac:dyDescent="0.15">
      <c r="A15" s="456"/>
      <c r="B15" s="65" t="s">
        <v>159</v>
      </c>
      <c r="C15" s="65">
        <v>5</v>
      </c>
      <c r="D15" s="413">
        <v>3</v>
      </c>
      <c r="E15" s="413">
        <v>3</v>
      </c>
      <c r="F15" s="413">
        <v>3</v>
      </c>
      <c r="G15" s="413">
        <v>3</v>
      </c>
      <c r="H15" s="413">
        <v>3</v>
      </c>
      <c r="I15" s="413">
        <v>3</v>
      </c>
      <c r="J15" s="413">
        <v>3</v>
      </c>
    </row>
    <row r="16" spans="1:10" ht="24.95" customHeight="1" x14ac:dyDescent="0.15">
      <c r="A16" s="454" t="s">
        <v>143</v>
      </c>
      <c r="B16" s="62" t="s">
        <v>158</v>
      </c>
      <c r="C16" s="62">
        <v>10</v>
      </c>
      <c r="D16" s="410">
        <v>5</v>
      </c>
      <c r="E16" s="410">
        <v>4</v>
      </c>
      <c r="F16" s="410">
        <v>4</v>
      </c>
      <c r="G16" s="410">
        <v>4</v>
      </c>
      <c r="H16" s="410">
        <v>5</v>
      </c>
      <c r="I16" s="410">
        <v>6</v>
      </c>
      <c r="J16" s="410">
        <v>4</v>
      </c>
    </row>
    <row r="17" spans="1:10" ht="24.95" customHeight="1" x14ac:dyDescent="0.15">
      <c r="A17" s="455"/>
      <c r="B17" s="63" t="s">
        <v>141</v>
      </c>
      <c r="C17" s="63">
        <v>10</v>
      </c>
      <c r="D17" s="411">
        <v>5</v>
      </c>
      <c r="E17" s="411">
        <v>5</v>
      </c>
      <c r="F17" s="411">
        <v>5</v>
      </c>
      <c r="G17" s="411">
        <v>6</v>
      </c>
      <c r="H17" s="411">
        <v>4</v>
      </c>
      <c r="I17" s="411">
        <v>5</v>
      </c>
      <c r="J17" s="411">
        <v>5</v>
      </c>
    </row>
    <row r="18" spans="1:10" ht="24.95" customHeight="1" x14ac:dyDescent="0.15">
      <c r="A18" s="455"/>
      <c r="B18" s="63" t="s">
        <v>157</v>
      </c>
      <c r="C18" s="63">
        <v>10</v>
      </c>
      <c r="D18" s="411">
        <v>5</v>
      </c>
      <c r="E18" s="411">
        <v>4</v>
      </c>
      <c r="F18" s="411">
        <v>4</v>
      </c>
      <c r="G18" s="411">
        <v>5</v>
      </c>
      <c r="H18" s="411">
        <v>5</v>
      </c>
      <c r="I18" s="411">
        <v>4</v>
      </c>
      <c r="J18" s="411">
        <v>5</v>
      </c>
    </row>
    <row r="19" spans="1:10" ht="24.95" customHeight="1" x14ac:dyDescent="0.15">
      <c r="A19" s="455"/>
      <c r="B19" s="64" t="s">
        <v>156</v>
      </c>
      <c r="C19" s="64">
        <v>10</v>
      </c>
      <c r="D19" s="412">
        <v>6</v>
      </c>
      <c r="E19" s="412">
        <v>6</v>
      </c>
      <c r="F19" s="412">
        <v>6</v>
      </c>
      <c r="G19" s="412">
        <v>6</v>
      </c>
      <c r="H19" s="412">
        <v>6</v>
      </c>
      <c r="I19" s="412">
        <v>7</v>
      </c>
      <c r="J19" s="412">
        <v>6</v>
      </c>
    </row>
    <row r="20" spans="1:10" ht="24.95" customHeight="1" x14ac:dyDescent="0.15">
      <c r="A20" s="457"/>
      <c r="B20" s="70" t="s">
        <v>140</v>
      </c>
      <c r="C20" s="70">
        <f t="shared" ref="C20:J20" si="1">SUM(C12:C19)</f>
        <v>70</v>
      </c>
      <c r="D20" s="70">
        <f t="shared" si="1"/>
        <v>38</v>
      </c>
      <c r="E20" s="70">
        <f t="shared" si="1"/>
        <v>36</v>
      </c>
      <c r="F20" s="70">
        <f t="shared" si="1"/>
        <v>33</v>
      </c>
      <c r="G20" s="70">
        <f t="shared" si="1"/>
        <v>38</v>
      </c>
      <c r="H20" s="70">
        <f t="shared" si="1"/>
        <v>38</v>
      </c>
      <c r="I20" s="70">
        <f t="shared" si="1"/>
        <v>37</v>
      </c>
      <c r="J20" s="70">
        <f t="shared" si="1"/>
        <v>37</v>
      </c>
    </row>
    <row r="21" spans="1:10" ht="24.95" customHeight="1" x14ac:dyDescent="0.15">
      <c r="A21" s="458"/>
      <c r="B21" s="70" t="s">
        <v>139</v>
      </c>
      <c r="C21" s="70">
        <f t="shared" ref="C21:J21" si="2">SUM(C11,C20)</f>
        <v>105</v>
      </c>
      <c r="D21" s="70">
        <f t="shared" si="2"/>
        <v>61</v>
      </c>
      <c r="E21" s="70">
        <f t="shared" si="2"/>
        <v>57</v>
      </c>
      <c r="F21" s="70">
        <f t="shared" si="2"/>
        <v>50</v>
      </c>
      <c r="G21" s="70">
        <f t="shared" si="2"/>
        <v>57</v>
      </c>
      <c r="H21" s="70">
        <f t="shared" si="2"/>
        <v>59</v>
      </c>
      <c r="I21" s="70">
        <f t="shared" si="2"/>
        <v>56</v>
      </c>
      <c r="J21" s="70">
        <f t="shared" si="2"/>
        <v>57</v>
      </c>
    </row>
    <row r="22" spans="1:10" ht="9.9499999999999993" customHeight="1" x14ac:dyDescent="0.15"/>
    <row r="23" spans="1:10" ht="24.95" customHeight="1" x14ac:dyDescent="0.15">
      <c r="A23" s="442" t="s">
        <v>189</v>
      </c>
      <c r="B23" s="442"/>
      <c r="C23" s="13"/>
      <c r="D23" s="37">
        <v>0.35</v>
      </c>
      <c r="E23" s="37"/>
      <c r="F23" s="13"/>
      <c r="G23" s="13"/>
      <c r="H23" s="2"/>
      <c r="I23" s="85"/>
      <c r="J23" s="85"/>
    </row>
    <row r="24" spans="1:10" ht="24.95" customHeight="1" x14ac:dyDescent="0.15">
      <c r="A24" s="442" t="s">
        <v>190</v>
      </c>
      <c r="B24" s="442"/>
      <c r="C24" s="13"/>
      <c r="D24" s="41">
        <f>D21*(1-D23)</f>
        <v>39.65</v>
      </c>
      <c r="E24" s="41"/>
      <c r="F24" s="13"/>
      <c r="G24" s="13"/>
      <c r="H24" s="2"/>
      <c r="I24" s="85"/>
      <c r="J24" s="85"/>
    </row>
    <row r="25" spans="1:10" ht="9.9499999999999993" customHeight="1" x14ac:dyDescent="0.15">
      <c r="A25" s="4"/>
      <c r="B25" s="4"/>
      <c r="C25" s="4"/>
      <c r="D25" s="4"/>
      <c r="E25" s="4"/>
      <c r="F25" s="4"/>
      <c r="G25" s="4"/>
      <c r="H25" s="4"/>
    </row>
    <row r="26" spans="1:10" ht="24.95" customHeight="1" x14ac:dyDescent="0.15">
      <c r="A26" s="445" t="s">
        <v>185</v>
      </c>
      <c r="B26" s="445"/>
      <c r="C26" s="11"/>
      <c r="D26" s="38">
        <v>34</v>
      </c>
      <c r="E26" s="38"/>
      <c r="F26" s="11"/>
      <c r="G26" s="11"/>
      <c r="H26" s="11"/>
      <c r="I26" s="54"/>
      <c r="J26" s="54"/>
    </row>
    <row r="27" spans="1:10" ht="24.95" customHeight="1" x14ac:dyDescent="0.15">
      <c r="A27" s="446" t="s">
        <v>186</v>
      </c>
      <c r="B27" s="446"/>
      <c r="C27" s="11"/>
      <c r="D27" s="47">
        <f>D26/75*100</f>
        <v>45.333333333333329</v>
      </c>
      <c r="E27" s="47"/>
      <c r="F27" s="11"/>
      <c r="G27" s="11"/>
      <c r="H27" s="11"/>
      <c r="I27" s="54"/>
      <c r="J27" s="54"/>
    </row>
    <row r="28" spans="1:10" ht="24.95" customHeight="1" x14ac:dyDescent="0.15">
      <c r="A28" s="445" t="s">
        <v>187</v>
      </c>
      <c r="B28" s="445"/>
      <c r="C28" s="11"/>
      <c r="D28" s="40">
        <v>0.35</v>
      </c>
      <c r="E28" s="40"/>
      <c r="F28" s="11"/>
      <c r="G28" s="11"/>
      <c r="H28" s="11"/>
      <c r="I28" s="54"/>
      <c r="J28" s="54"/>
    </row>
    <row r="29" spans="1:10" ht="24.95" customHeight="1" x14ac:dyDescent="0.15">
      <c r="A29" s="446" t="s">
        <v>188</v>
      </c>
      <c r="B29" s="446"/>
      <c r="C29" s="107"/>
      <c r="D29" s="106">
        <f>D27*D28</f>
        <v>15.866666666666664</v>
      </c>
      <c r="E29" s="48"/>
      <c r="F29" s="11"/>
      <c r="G29" s="11"/>
      <c r="H29" s="11"/>
      <c r="I29" s="54"/>
      <c r="J29" s="54"/>
    </row>
    <row r="30" spans="1:10" ht="9.9499999999999993" customHeight="1" x14ac:dyDescent="0.15">
      <c r="A30" s="4"/>
      <c r="B30" s="4"/>
      <c r="C30" s="4"/>
      <c r="D30" s="4"/>
      <c r="E30" s="4"/>
      <c r="F30" s="4"/>
      <c r="G30" s="4"/>
      <c r="H30" s="4"/>
    </row>
    <row r="31" spans="1:10" ht="24.95" customHeight="1" x14ac:dyDescent="0.15">
      <c r="A31" s="448" t="s">
        <v>179</v>
      </c>
      <c r="B31" s="449"/>
      <c r="C31" s="12"/>
      <c r="D31" s="12">
        <v>0</v>
      </c>
      <c r="E31" s="12">
        <v>0</v>
      </c>
      <c r="F31" s="12">
        <v>1</v>
      </c>
      <c r="G31" s="12">
        <v>0</v>
      </c>
      <c r="H31" s="12">
        <v>0</v>
      </c>
      <c r="I31" s="66">
        <v>1</v>
      </c>
      <c r="J31" s="66">
        <v>0</v>
      </c>
    </row>
    <row r="32" spans="1:10" ht="24.95" customHeight="1" x14ac:dyDescent="0.15">
      <c r="A32" s="448" t="s">
        <v>180</v>
      </c>
      <c r="B32" s="449"/>
      <c r="C32" s="12"/>
      <c r="D32" s="12">
        <v>1</v>
      </c>
      <c r="E32" s="12">
        <v>0</v>
      </c>
      <c r="F32" s="12">
        <v>0</v>
      </c>
      <c r="G32" s="12">
        <v>1</v>
      </c>
      <c r="H32" s="12">
        <v>1</v>
      </c>
      <c r="I32" s="66">
        <v>0</v>
      </c>
      <c r="J32" s="66">
        <v>1</v>
      </c>
    </row>
    <row r="33" spans="1:10" ht="9.9499999999999993" customHeight="1" x14ac:dyDescent="0.15">
      <c r="A33" s="4"/>
      <c r="B33" s="4"/>
      <c r="C33" s="4"/>
      <c r="D33" s="4"/>
      <c r="E33" s="4"/>
      <c r="F33" s="4"/>
      <c r="G33" s="4"/>
      <c r="H33" s="4"/>
    </row>
    <row r="34" spans="1:10" ht="24.95" customHeight="1" x14ac:dyDescent="0.15">
      <c r="A34" s="442" t="s">
        <v>181</v>
      </c>
      <c r="B34" s="442"/>
      <c r="C34" s="12"/>
      <c r="D34" s="12">
        <f>D32-D31</f>
        <v>1</v>
      </c>
      <c r="E34" s="12">
        <f t="shared" ref="E34:J34" si="3">E32-E31</f>
        <v>0</v>
      </c>
      <c r="F34" s="12">
        <f t="shared" si="3"/>
        <v>-1</v>
      </c>
      <c r="G34" s="12">
        <f t="shared" si="3"/>
        <v>1</v>
      </c>
      <c r="H34" s="12">
        <f t="shared" si="3"/>
        <v>1</v>
      </c>
      <c r="I34" s="12">
        <f t="shared" si="3"/>
        <v>-1</v>
      </c>
      <c r="J34" s="12">
        <f t="shared" si="3"/>
        <v>1</v>
      </c>
    </row>
    <row r="35" spans="1:10" ht="24.95" customHeight="1" x14ac:dyDescent="0.15">
      <c r="A35" s="442" t="s">
        <v>182</v>
      </c>
      <c r="B35" s="442"/>
      <c r="C35" s="12"/>
      <c r="D35" s="49">
        <f>D24+D29+D34</f>
        <v>56.516666666666666</v>
      </c>
      <c r="E35" s="12">
        <f t="shared" ref="E35:H35" si="4">E21+E34</f>
        <v>57</v>
      </c>
      <c r="F35" s="12">
        <f t="shared" si="4"/>
        <v>49</v>
      </c>
      <c r="G35" s="12">
        <f t="shared" si="4"/>
        <v>58</v>
      </c>
      <c r="H35" s="12">
        <f t="shared" si="4"/>
        <v>60</v>
      </c>
      <c r="I35" s="12">
        <f t="shared" ref="I35" si="5">I21+I34</f>
        <v>55</v>
      </c>
      <c r="J35" s="12">
        <f t="shared" ref="J35" si="6">J21+J34</f>
        <v>58</v>
      </c>
    </row>
    <row r="36" spans="1:10" ht="9.9499999999999993" customHeight="1" x14ac:dyDescent="0.15">
      <c r="A36" s="4"/>
      <c r="B36" s="4"/>
      <c r="C36" s="4"/>
      <c r="D36" s="4"/>
      <c r="E36" s="4"/>
      <c r="F36" s="4"/>
      <c r="G36" s="4"/>
      <c r="H36" s="4"/>
    </row>
    <row r="37" spans="1:10" ht="24.95" customHeight="1" x14ac:dyDescent="0.15">
      <c r="A37" s="450" t="s">
        <v>183</v>
      </c>
      <c r="B37" s="450"/>
      <c r="C37" s="12"/>
      <c r="D37" s="50">
        <f>D35</f>
        <v>56.516666666666666</v>
      </c>
      <c r="E37" s="50">
        <f t="shared" ref="E37:J37" si="7">E35</f>
        <v>57</v>
      </c>
      <c r="F37" s="50">
        <f t="shared" si="7"/>
        <v>49</v>
      </c>
      <c r="G37" s="50">
        <f t="shared" si="7"/>
        <v>58</v>
      </c>
      <c r="H37" s="50">
        <f t="shared" si="7"/>
        <v>60</v>
      </c>
      <c r="I37" s="50">
        <f t="shared" si="7"/>
        <v>55</v>
      </c>
      <c r="J37" s="50">
        <f t="shared" si="7"/>
        <v>58</v>
      </c>
    </row>
    <row r="38" spans="1:10" ht="24.95" customHeight="1" x14ac:dyDescent="0.15">
      <c r="A38" s="451" t="s">
        <v>184</v>
      </c>
      <c r="B38" s="451"/>
      <c r="C38" s="51"/>
      <c r="D38" s="52">
        <f>INT(D37+0.5)</f>
        <v>57</v>
      </c>
      <c r="E38" s="52">
        <f t="shared" ref="E38:H38" si="8">INT(E37+0.5)</f>
        <v>57</v>
      </c>
      <c r="F38" s="52">
        <f t="shared" si="8"/>
        <v>49</v>
      </c>
      <c r="G38" s="52">
        <f t="shared" si="8"/>
        <v>58</v>
      </c>
      <c r="H38" s="52">
        <f t="shared" si="8"/>
        <v>60</v>
      </c>
      <c r="I38" s="52">
        <f t="shared" ref="I38" si="9">INT(I37+0.5)</f>
        <v>55</v>
      </c>
      <c r="J38" s="52">
        <f t="shared" ref="J38" si="10">INT(J37+0.5)</f>
        <v>58</v>
      </c>
    </row>
  </sheetData>
  <mergeCells count="16">
    <mergeCell ref="A34:B34"/>
    <mergeCell ref="A35:B35"/>
    <mergeCell ref="A37:B37"/>
    <mergeCell ref="A38:B38"/>
    <mergeCell ref="A26:B26"/>
    <mergeCell ref="A27:B27"/>
    <mergeCell ref="A28:B28"/>
    <mergeCell ref="A29:B29"/>
    <mergeCell ref="A31:B31"/>
    <mergeCell ref="A32:B32"/>
    <mergeCell ref="A24:B24"/>
    <mergeCell ref="A4:A10"/>
    <mergeCell ref="A12:A15"/>
    <mergeCell ref="A16:A19"/>
    <mergeCell ref="A20:A21"/>
    <mergeCell ref="A23:B23"/>
  </mergeCells>
  <phoneticPr fontId="16"/>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D30"/>
  <sheetViews>
    <sheetView zoomScale="75" zoomScaleNormal="75" workbookViewId="0">
      <selection activeCell="D3" sqref="D3"/>
    </sheetView>
  </sheetViews>
  <sheetFormatPr defaultColWidth="12" defaultRowHeight="24.95" customHeight="1" x14ac:dyDescent="0.15"/>
  <cols>
    <col min="1" max="1" width="12" style="53"/>
    <col min="2" max="2" width="32" style="53" customWidth="1"/>
    <col min="3" max="3" width="8.625" style="53" customWidth="1"/>
    <col min="4" max="4" width="12" style="53"/>
    <col min="5" max="16384" width="12" style="33"/>
  </cols>
  <sheetData>
    <row r="1" spans="1:4" s="34" customFormat="1" ht="24.95" customHeight="1" x14ac:dyDescent="0.15">
      <c r="A1" s="84" t="s">
        <v>164</v>
      </c>
      <c r="B1" s="67" t="s">
        <v>169</v>
      </c>
      <c r="C1" s="67"/>
      <c r="D1" s="67"/>
    </row>
    <row r="2" spans="1:4" ht="24.95" customHeight="1" x14ac:dyDescent="0.15">
      <c r="A2" s="67" t="s">
        <v>254</v>
      </c>
      <c r="B2" s="67"/>
    </row>
    <row r="3" spans="1:4" s="58" customFormat="1" ht="24.95" customHeight="1" x14ac:dyDescent="0.15">
      <c r="A3" s="55"/>
      <c r="B3" s="55" t="s">
        <v>153</v>
      </c>
      <c r="C3" s="55" t="s">
        <v>152</v>
      </c>
      <c r="D3" s="55"/>
    </row>
    <row r="4" spans="1:4" ht="24.95" customHeight="1" x14ac:dyDescent="0.15">
      <c r="A4" s="460" t="s">
        <v>151</v>
      </c>
      <c r="B4" s="75" t="s">
        <v>150</v>
      </c>
      <c r="C4" s="79">
        <v>5</v>
      </c>
      <c r="D4" s="108">
        <v>3</v>
      </c>
    </row>
    <row r="5" spans="1:4" ht="24.95" customHeight="1" x14ac:dyDescent="0.15">
      <c r="A5" s="461"/>
      <c r="B5" s="76" t="s">
        <v>149</v>
      </c>
      <c r="C5" s="77">
        <v>5</v>
      </c>
      <c r="D5" s="109">
        <v>3</v>
      </c>
    </row>
    <row r="6" spans="1:4" ht="24.95" customHeight="1" x14ac:dyDescent="0.15">
      <c r="A6" s="461"/>
      <c r="B6" s="76" t="s">
        <v>142</v>
      </c>
      <c r="C6" s="77">
        <v>5</v>
      </c>
      <c r="D6" s="109">
        <v>3</v>
      </c>
    </row>
    <row r="7" spans="1:4" ht="24.95" customHeight="1" x14ac:dyDescent="0.15">
      <c r="A7" s="461"/>
      <c r="B7" s="76" t="s">
        <v>148</v>
      </c>
      <c r="C7" s="77">
        <v>5</v>
      </c>
      <c r="D7" s="109">
        <v>3</v>
      </c>
    </row>
    <row r="8" spans="1:4" ht="24.95" customHeight="1" x14ac:dyDescent="0.15">
      <c r="A8" s="461"/>
      <c r="B8" s="76" t="s">
        <v>147</v>
      </c>
      <c r="C8" s="77">
        <v>5</v>
      </c>
      <c r="D8" s="109">
        <v>3</v>
      </c>
    </row>
    <row r="9" spans="1:4" ht="24.95" customHeight="1" x14ac:dyDescent="0.15">
      <c r="A9" s="461"/>
      <c r="B9" s="76" t="s">
        <v>146</v>
      </c>
      <c r="C9" s="77">
        <v>5</v>
      </c>
      <c r="D9" s="109">
        <v>3</v>
      </c>
    </row>
    <row r="10" spans="1:4" ht="24.95" customHeight="1" x14ac:dyDescent="0.15">
      <c r="A10" s="461"/>
      <c r="B10" s="78" t="s">
        <v>145</v>
      </c>
      <c r="C10" s="110">
        <v>5</v>
      </c>
      <c r="D10" s="111">
        <v>3</v>
      </c>
    </row>
    <row r="11" spans="1:4" ht="24.95" customHeight="1" x14ac:dyDescent="0.15">
      <c r="A11" s="101"/>
      <c r="B11" s="101" t="s">
        <v>140</v>
      </c>
      <c r="C11" s="102">
        <f>SUM(C4:C10)</f>
        <v>35</v>
      </c>
      <c r="D11" s="326">
        <f>SUM(D4:D10)</f>
        <v>21</v>
      </c>
    </row>
    <row r="12" spans="1:4" ht="24.95" customHeight="1" x14ac:dyDescent="0.15">
      <c r="A12" s="460" t="s">
        <v>144</v>
      </c>
      <c r="B12" s="75" t="s">
        <v>162</v>
      </c>
      <c r="C12" s="79">
        <v>10</v>
      </c>
      <c r="D12" s="327">
        <v>5</v>
      </c>
    </row>
    <row r="13" spans="1:4" ht="24.95" customHeight="1" x14ac:dyDescent="0.15">
      <c r="A13" s="461"/>
      <c r="B13" s="76" t="s">
        <v>161</v>
      </c>
      <c r="C13" s="77">
        <v>5</v>
      </c>
      <c r="D13" s="328">
        <v>4</v>
      </c>
    </row>
    <row r="14" spans="1:4" ht="24.95" customHeight="1" x14ac:dyDescent="0.15">
      <c r="A14" s="461"/>
      <c r="B14" s="76" t="s">
        <v>168</v>
      </c>
      <c r="C14" s="77">
        <v>10</v>
      </c>
      <c r="D14" s="328">
        <v>5</v>
      </c>
    </row>
    <row r="15" spans="1:4" ht="24.95" customHeight="1" x14ac:dyDescent="0.15">
      <c r="A15" s="462"/>
      <c r="B15" s="80" t="s">
        <v>159</v>
      </c>
      <c r="C15" s="81">
        <v>5</v>
      </c>
      <c r="D15" s="329">
        <v>3</v>
      </c>
    </row>
    <row r="16" spans="1:4" ht="24.95" customHeight="1" x14ac:dyDescent="0.15">
      <c r="A16" s="460" t="s">
        <v>143</v>
      </c>
      <c r="B16" s="75" t="s">
        <v>165</v>
      </c>
      <c r="C16" s="79">
        <v>10</v>
      </c>
      <c r="D16" s="414">
        <v>5</v>
      </c>
    </row>
    <row r="17" spans="1:4" ht="24.95" customHeight="1" x14ac:dyDescent="0.15">
      <c r="A17" s="461"/>
      <c r="B17" s="76" t="s">
        <v>141</v>
      </c>
      <c r="C17" s="77">
        <v>10</v>
      </c>
      <c r="D17" s="415">
        <v>5</v>
      </c>
    </row>
    <row r="18" spans="1:4" ht="24.95" customHeight="1" x14ac:dyDescent="0.15">
      <c r="A18" s="461"/>
      <c r="B18" s="76" t="s">
        <v>157</v>
      </c>
      <c r="C18" s="77">
        <v>10</v>
      </c>
      <c r="D18" s="415">
        <v>5</v>
      </c>
    </row>
    <row r="19" spans="1:4" ht="24.95" customHeight="1" x14ac:dyDescent="0.15">
      <c r="A19" s="461"/>
      <c r="B19" s="78" t="s">
        <v>156</v>
      </c>
      <c r="C19" s="110">
        <v>10</v>
      </c>
      <c r="D19" s="416">
        <v>4</v>
      </c>
    </row>
    <row r="20" spans="1:4" ht="24.95" customHeight="1" x14ac:dyDescent="0.15">
      <c r="A20" s="463"/>
      <c r="B20" s="101" t="s">
        <v>140</v>
      </c>
      <c r="C20" s="326">
        <f>SUM(C12:C19)</f>
        <v>70</v>
      </c>
      <c r="D20" s="345">
        <f>SUM(D12:D19)</f>
        <v>36</v>
      </c>
    </row>
    <row r="21" spans="1:4" ht="24.95" customHeight="1" x14ac:dyDescent="0.15">
      <c r="A21" s="464"/>
      <c r="B21" s="101" t="s">
        <v>139</v>
      </c>
      <c r="C21" s="101">
        <f>SUM(C11,C20)</f>
        <v>105</v>
      </c>
      <c r="D21" s="112">
        <f>SUM(D11,D20)</f>
        <v>57</v>
      </c>
    </row>
    <row r="22" spans="1:4" ht="9.9499999999999993" customHeight="1" x14ac:dyDescent="0.15">
      <c r="A22" s="69"/>
      <c r="B22" s="69"/>
      <c r="C22" s="69"/>
      <c r="D22" s="69"/>
    </row>
    <row r="23" spans="1:4" ht="24.95" customHeight="1" x14ac:dyDescent="0.15">
      <c r="A23" s="465" t="s">
        <v>179</v>
      </c>
      <c r="B23" s="466"/>
      <c r="C23" s="39"/>
      <c r="D23" s="39">
        <v>0</v>
      </c>
    </row>
    <row r="24" spans="1:4" ht="24.95" customHeight="1" x14ac:dyDescent="0.15">
      <c r="A24" s="465" t="s">
        <v>180</v>
      </c>
      <c r="B24" s="466"/>
      <c r="C24" s="39"/>
      <c r="D24" s="39">
        <v>1</v>
      </c>
    </row>
    <row r="25" spans="1:4" ht="9.9499999999999993" customHeight="1" x14ac:dyDescent="0.15">
      <c r="A25" s="82"/>
      <c r="B25" s="82"/>
      <c r="C25" s="82"/>
      <c r="D25" s="83"/>
    </row>
    <row r="26" spans="1:4" ht="24.95" customHeight="1" x14ac:dyDescent="0.15">
      <c r="A26" s="450" t="s">
        <v>181</v>
      </c>
      <c r="B26" s="450"/>
      <c r="C26" s="39"/>
      <c r="D26" s="39">
        <f>D24-D23</f>
        <v>1</v>
      </c>
    </row>
    <row r="27" spans="1:4" ht="24.95" customHeight="1" x14ac:dyDescent="0.15">
      <c r="A27" s="450" t="s">
        <v>182</v>
      </c>
      <c r="B27" s="450"/>
      <c r="C27" s="39"/>
      <c r="D27" s="39">
        <f>D21+D26</f>
        <v>58</v>
      </c>
    </row>
    <row r="28" spans="1:4" ht="9.9499999999999993" customHeight="1" x14ac:dyDescent="0.15">
      <c r="A28" s="82"/>
      <c r="B28" s="82"/>
      <c r="C28" s="82"/>
      <c r="D28" s="83"/>
    </row>
    <row r="29" spans="1:4" ht="24.95" customHeight="1" x14ac:dyDescent="0.15">
      <c r="A29" s="450" t="s">
        <v>183</v>
      </c>
      <c r="B29" s="450"/>
      <c r="C29" s="39"/>
      <c r="D29" s="48">
        <f>D27</f>
        <v>58</v>
      </c>
    </row>
    <row r="30" spans="1:4" ht="24.95" customHeight="1" x14ac:dyDescent="0.15">
      <c r="A30" s="459" t="s">
        <v>184</v>
      </c>
      <c r="B30" s="459"/>
      <c r="C30" s="113"/>
      <c r="D30" s="52">
        <f>INT(D29+0.5)</f>
        <v>58</v>
      </c>
    </row>
  </sheetData>
  <mergeCells count="10">
    <mergeCell ref="A26:B26"/>
    <mergeCell ref="A27:B27"/>
    <mergeCell ref="A29:B29"/>
    <mergeCell ref="A30:B30"/>
    <mergeCell ref="A4:A10"/>
    <mergeCell ref="A12:A15"/>
    <mergeCell ref="A16:A19"/>
    <mergeCell ref="A20:A21"/>
    <mergeCell ref="A23:B23"/>
    <mergeCell ref="A24:B24"/>
  </mergeCells>
  <phoneticPr fontId="16"/>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D30"/>
  <sheetViews>
    <sheetView zoomScale="75" zoomScaleNormal="75" workbookViewId="0">
      <selection activeCell="D3" sqref="D3"/>
    </sheetView>
  </sheetViews>
  <sheetFormatPr defaultColWidth="12" defaultRowHeight="24.95" customHeight="1" x14ac:dyDescent="0.15"/>
  <cols>
    <col min="1" max="1" width="12" style="33"/>
    <col min="2" max="2" width="28.875" style="33" customWidth="1"/>
    <col min="3" max="3" width="8.625" style="33" customWidth="1"/>
    <col min="4" max="16384" width="12" style="33"/>
  </cols>
  <sheetData>
    <row r="1" spans="1:4" s="34" customFormat="1" ht="24.95" customHeight="1" x14ac:dyDescent="0.15">
      <c r="A1" s="35" t="s">
        <v>164</v>
      </c>
      <c r="B1" s="34" t="s">
        <v>167</v>
      </c>
    </row>
    <row r="3" spans="1:4" ht="24.95" customHeight="1" x14ac:dyDescent="0.15">
      <c r="A3" s="74"/>
      <c r="B3" s="74" t="s">
        <v>153</v>
      </c>
      <c r="C3" s="74" t="s">
        <v>152</v>
      </c>
      <c r="D3" s="74"/>
    </row>
    <row r="4" spans="1:4" ht="24.95" customHeight="1" x14ac:dyDescent="0.15">
      <c r="A4" s="468" t="s">
        <v>151</v>
      </c>
      <c r="B4" s="79" t="s">
        <v>150</v>
      </c>
      <c r="C4" s="79">
        <v>5</v>
      </c>
      <c r="D4" s="108">
        <v>2</v>
      </c>
    </row>
    <row r="5" spans="1:4" ht="24.95" customHeight="1" x14ac:dyDescent="0.15">
      <c r="A5" s="469"/>
      <c r="B5" s="77" t="s">
        <v>149</v>
      </c>
      <c r="C5" s="77">
        <v>5</v>
      </c>
      <c r="D5" s="415">
        <v>3</v>
      </c>
    </row>
    <row r="6" spans="1:4" ht="24.95" customHeight="1" x14ac:dyDescent="0.15">
      <c r="A6" s="469"/>
      <c r="B6" s="77" t="s">
        <v>142</v>
      </c>
      <c r="C6" s="77">
        <v>5</v>
      </c>
      <c r="D6" s="415">
        <v>3</v>
      </c>
    </row>
    <row r="7" spans="1:4" ht="24.95" customHeight="1" x14ac:dyDescent="0.15">
      <c r="A7" s="469"/>
      <c r="B7" s="77" t="s">
        <v>148</v>
      </c>
      <c r="C7" s="77">
        <v>5</v>
      </c>
      <c r="D7" s="109">
        <v>2</v>
      </c>
    </row>
    <row r="8" spans="1:4" ht="24.95" customHeight="1" x14ac:dyDescent="0.15">
      <c r="A8" s="469"/>
      <c r="B8" s="77" t="s">
        <v>147</v>
      </c>
      <c r="C8" s="77">
        <v>5</v>
      </c>
      <c r="D8" s="109">
        <v>2</v>
      </c>
    </row>
    <row r="9" spans="1:4" ht="24.95" customHeight="1" x14ac:dyDescent="0.15">
      <c r="A9" s="469"/>
      <c r="B9" s="77" t="s">
        <v>146</v>
      </c>
      <c r="C9" s="77">
        <v>5</v>
      </c>
      <c r="D9" s="109">
        <v>2</v>
      </c>
    </row>
    <row r="10" spans="1:4" ht="24.95" customHeight="1" x14ac:dyDescent="0.15">
      <c r="A10" s="469"/>
      <c r="B10" s="110" t="s">
        <v>145</v>
      </c>
      <c r="C10" s="110">
        <v>5</v>
      </c>
      <c r="D10" s="111">
        <v>2</v>
      </c>
    </row>
    <row r="11" spans="1:4" ht="24.95" customHeight="1" x14ac:dyDescent="0.15">
      <c r="A11" s="101"/>
      <c r="B11" s="101" t="s">
        <v>140</v>
      </c>
      <c r="C11" s="101">
        <f>SUM(C4:C10)</f>
        <v>35</v>
      </c>
      <c r="D11" s="101">
        <f>SUM(D4:D10)</f>
        <v>16</v>
      </c>
    </row>
    <row r="12" spans="1:4" ht="24.95" customHeight="1" x14ac:dyDescent="0.15">
      <c r="A12" s="468" t="s">
        <v>144</v>
      </c>
      <c r="B12" s="79" t="s">
        <v>162</v>
      </c>
      <c r="C12" s="79">
        <v>10</v>
      </c>
      <c r="D12" s="108">
        <v>4</v>
      </c>
    </row>
    <row r="13" spans="1:4" ht="24.95" customHeight="1" x14ac:dyDescent="0.15">
      <c r="A13" s="469"/>
      <c r="B13" s="77" t="s">
        <v>161</v>
      </c>
      <c r="C13" s="77">
        <v>5</v>
      </c>
      <c r="D13" s="415">
        <v>3</v>
      </c>
    </row>
    <row r="14" spans="1:4" ht="24.95" customHeight="1" x14ac:dyDescent="0.15">
      <c r="A14" s="469"/>
      <c r="B14" s="77" t="s">
        <v>166</v>
      </c>
      <c r="C14" s="77">
        <v>10</v>
      </c>
      <c r="D14" s="415">
        <v>5</v>
      </c>
    </row>
    <row r="15" spans="1:4" ht="24.95" customHeight="1" x14ac:dyDescent="0.15">
      <c r="A15" s="470"/>
      <c r="B15" s="81" t="s">
        <v>159</v>
      </c>
      <c r="C15" s="81">
        <v>5</v>
      </c>
      <c r="D15" s="417">
        <v>3</v>
      </c>
    </row>
    <row r="16" spans="1:4" ht="24.95" customHeight="1" x14ac:dyDescent="0.15">
      <c r="A16" s="468" t="s">
        <v>143</v>
      </c>
      <c r="B16" s="79" t="s">
        <v>165</v>
      </c>
      <c r="C16" s="79">
        <v>10</v>
      </c>
      <c r="D16" s="414">
        <v>4</v>
      </c>
    </row>
    <row r="17" spans="1:4" ht="24.95" customHeight="1" x14ac:dyDescent="0.15">
      <c r="A17" s="469"/>
      <c r="B17" s="77" t="s">
        <v>141</v>
      </c>
      <c r="C17" s="77">
        <v>10</v>
      </c>
      <c r="D17" s="415">
        <v>5</v>
      </c>
    </row>
    <row r="18" spans="1:4" ht="24.95" customHeight="1" x14ac:dyDescent="0.15">
      <c r="A18" s="469"/>
      <c r="B18" s="77" t="s">
        <v>157</v>
      </c>
      <c r="C18" s="77">
        <v>10</v>
      </c>
      <c r="D18" s="109">
        <v>4</v>
      </c>
    </row>
    <row r="19" spans="1:4" ht="24.95" customHeight="1" x14ac:dyDescent="0.15">
      <c r="A19" s="469"/>
      <c r="B19" s="110" t="s">
        <v>156</v>
      </c>
      <c r="C19" s="110">
        <v>10</v>
      </c>
      <c r="D19" s="111">
        <v>6</v>
      </c>
    </row>
    <row r="20" spans="1:4" ht="24.95" customHeight="1" x14ac:dyDescent="0.15">
      <c r="A20" s="463"/>
      <c r="B20" s="101" t="s">
        <v>140</v>
      </c>
      <c r="C20" s="101">
        <f>SUM(C12:C19)</f>
        <v>70</v>
      </c>
      <c r="D20" s="101">
        <f>SUM(D12:D19)</f>
        <v>34</v>
      </c>
    </row>
    <row r="21" spans="1:4" ht="24.95" customHeight="1" x14ac:dyDescent="0.15">
      <c r="A21" s="464"/>
      <c r="B21" s="101" t="s">
        <v>139</v>
      </c>
      <c r="C21" s="101">
        <f>SUM(C11,C20)</f>
        <v>105</v>
      </c>
      <c r="D21" s="101">
        <f>SUM(D11,D20)</f>
        <v>50</v>
      </c>
    </row>
    <row r="22" spans="1:4" ht="9.9499999999999993" customHeight="1" x14ac:dyDescent="0.15">
      <c r="A22" s="114"/>
      <c r="B22" s="114"/>
      <c r="C22" s="114"/>
      <c r="D22" s="114"/>
    </row>
    <row r="23" spans="1:4" ht="24.95" customHeight="1" x14ac:dyDescent="0.15">
      <c r="A23" s="465" t="s">
        <v>179</v>
      </c>
      <c r="B23" s="466"/>
      <c r="C23" s="39"/>
      <c r="D23" s="39">
        <v>1</v>
      </c>
    </row>
    <row r="24" spans="1:4" ht="24.95" customHeight="1" x14ac:dyDescent="0.15">
      <c r="A24" s="465" t="s">
        <v>180</v>
      </c>
      <c r="B24" s="466"/>
      <c r="C24" s="39"/>
      <c r="D24" s="39">
        <v>0</v>
      </c>
    </row>
    <row r="25" spans="1:4" ht="9.9499999999999993" customHeight="1" x14ac:dyDescent="0.15">
      <c r="A25" s="82"/>
      <c r="B25" s="82"/>
      <c r="C25" s="82"/>
      <c r="D25" s="83"/>
    </row>
    <row r="26" spans="1:4" ht="24.95" customHeight="1" x14ac:dyDescent="0.15">
      <c r="A26" s="450" t="s">
        <v>181</v>
      </c>
      <c r="B26" s="450"/>
      <c r="C26" s="39"/>
      <c r="D26" s="39">
        <f>D24-D23</f>
        <v>-1</v>
      </c>
    </row>
    <row r="27" spans="1:4" ht="24.95" customHeight="1" x14ac:dyDescent="0.15">
      <c r="A27" s="450" t="s">
        <v>182</v>
      </c>
      <c r="B27" s="450"/>
      <c r="C27" s="39"/>
      <c r="D27" s="39">
        <f>D21+D26</f>
        <v>49</v>
      </c>
    </row>
    <row r="28" spans="1:4" ht="9.9499999999999993" customHeight="1" x14ac:dyDescent="0.15">
      <c r="A28" s="82"/>
      <c r="B28" s="82"/>
      <c r="C28" s="82"/>
      <c r="D28" s="83"/>
    </row>
    <row r="29" spans="1:4" ht="24.95" customHeight="1" x14ac:dyDescent="0.15">
      <c r="A29" s="450" t="s">
        <v>183</v>
      </c>
      <c r="B29" s="450"/>
      <c r="C29" s="39"/>
      <c r="D29" s="48">
        <f>D27</f>
        <v>49</v>
      </c>
    </row>
    <row r="30" spans="1:4" ht="30" customHeight="1" x14ac:dyDescent="0.15">
      <c r="A30" s="467" t="s">
        <v>184</v>
      </c>
      <c r="B30" s="467"/>
      <c r="C30" s="113"/>
      <c r="D30" s="52">
        <f>INT(D29+0.5)</f>
        <v>49</v>
      </c>
    </row>
  </sheetData>
  <mergeCells count="10">
    <mergeCell ref="A26:B26"/>
    <mergeCell ref="A27:B27"/>
    <mergeCell ref="A29:B29"/>
    <mergeCell ref="A30:B30"/>
    <mergeCell ref="A4:A10"/>
    <mergeCell ref="A12:A15"/>
    <mergeCell ref="A16:A19"/>
    <mergeCell ref="A20:A21"/>
    <mergeCell ref="A23:B23"/>
    <mergeCell ref="A24:B24"/>
  </mergeCells>
  <phoneticPr fontId="16"/>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D29"/>
  <sheetViews>
    <sheetView zoomScale="80" zoomScaleNormal="80" workbookViewId="0">
      <selection activeCell="D3" sqref="D3"/>
    </sheetView>
  </sheetViews>
  <sheetFormatPr defaultColWidth="12" defaultRowHeight="24.95" customHeight="1" x14ac:dyDescent="0.15"/>
  <cols>
    <col min="1" max="1" width="12" style="53"/>
    <col min="2" max="2" width="37.5" style="53" customWidth="1"/>
    <col min="3" max="3" width="8.625" style="53" customWidth="1"/>
    <col min="4" max="4" width="12" style="53"/>
    <col min="5" max="16384" width="12" style="33"/>
  </cols>
  <sheetData>
    <row r="1" spans="1:4" s="34" customFormat="1" ht="24.95" customHeight="1" x14ac:dyDescent="0.15">
      <c r="A1" s="84" t="s">
        <v>177</v>
      </c>
      <c r="B1" s="67"/>
      <c r="C1" s="67"/>
      <c r="D1" s="67"/>
    </row>
    <row r="2" spans="1:4" ht="24.95" customHeight="1" x14ac:dyDescent="0.15">
      <c r="A2" s="67" t="s">
        <v>154</v>
      </c>
    </row>
    <row r="3" spans="1:4" ht="24.95" customHeight="1" x14ac:dyDescent="0.15">
      <c r="A3" s="115"/>
      <c r="B3" s="115" t="s">
        <v>153</v>
      </c>
      <c r="C3" s="115" t="s">
        <v>152</v>
      </c>
      <c r="D3" s="115"/>
    </row>
    <row r="4" spans="1:4" ht="24.95" customHeight="1" x14ac:dyDescent="0.15">
      <c r="A4" s="460" t="s">
        <v>151</v>
      </c>
      <c r="B4" s="75" t="s">
        <v>150</v>
      </c>
      <c r="C4" s="79">
        <v>5</v>
      </c>
      <c r="D4" s="374">
        <v>3</v>
      </c>
    </row>
    <row r="5" spans="1:4" ht="24.95" customHeight="1" x14ac:dyDescent="0.15">
      <c r="A5" s="461"/>
      <c r="B5" s="76" t="s">
        <v>149</v>
      </c>
      <c r="C5" s="77">
        <v>5</v>
      </c>
      <c r="D5" s="418">
        <v>3</v>
      </c>
    </row>
    <row r="6" spans="1:4" ht="24.95" customHeight="1" x14ac:dyDescent="0.15">
      <c r="A6" s="461"/>
      <c r="B6" s="76" t="s">
        <v>142</v>
      </c>
      <c r="C6" s="77">
        <v>5</v>
      </c>
      <c r="D6" s="375">
        <v>3</v>
      </c>
    </row>
    <row r="7" spans="1:4" ht="24.95" customHeight="1" x14ac:dyDescent="0.15">
      <c r="A7" s="461"/>
      <c r="B7" s="76" t="s">
        <v>148</v>
      </c>
      <c r="C7" s="77">
        <v>5</v>
      </c>
      <c r="D7" s="375">
        <v>3</v>
      </c>
    </row>
    <row r="8" spans="1:4" ht="24.95" customHeight="1" x14ac:dyDescent="0.15">
      <c r="A8" s="461"/>
      <c r="B8" s="76" t="s">
        <v>147</v>
      </c>
      <c r="C8" s="77">
        <v>5</v>
      </c>
      <c r="D8" s="375">
        <v>3</v>
      </c>
    </row>
    <row r="9" spans="1:4" ht="24.95" customHeight="1" x14ac:dyDescent="0.15">
      <c r="A9" s="461"/>
      <c r="B9" s="76" t="s">
        <v>146</v>
      </c>
      <c r="C9" s="77">
        <v>5</v>
      </c>
      <c r="D9" s="375">
        <v>3</v>
      </c>
    </row>
    <row r="10" spans="1:4" ht="24.95" customHeight="1" x14ac:dyDescent="0.15">
      <c r="A10" s="461"/>
      <c r="B10" s="78" t="s">
        <v>145</v>
      </c>
      <c r="C10" s="110">
        <v>5</v>
      </c>
      <c r="D10" s="376">
        <v>3</v>
      </c>
    </row>
    <row r="11" spans="1:4" ht="24.95" customHeight="1" x14ac:dyDescent="0.15">
      <c r="A11" s="101"/>
      <c r="B11" s="101" t="s">
        <v>140</v>
      </c>
      <c r="C11" s="101">
        <f>SUM(C4:C10)</f>
        <v>35</v>
      </c>
      <c r="D11" s="345">
        <f>SUM(D4:D10)</f>
        <v>21</v>
      </c>
    </row>
    <row r="12" spans="1:4" ht="24.95" customHeight="1" x14ac:dyDescent="0.15">
      <c r="A12" s="460" t="s">
        <v>144</v>
      </c>
      <c r="B12" s="75" t="s">
        <v>176</v>
      </c>
      <c r="C12" s="79">
        <v>10</v>
      </c>
      <c r="D12" s="374">
        <v>6</v>
      </c>
    </row>
    <row r="13" spans="1:4" ht="24.95" customHeight="1" x14ac:dyDescent="0.15">
      <c r="A13" s="461"/>
      <c r="B13" s="116" t="s">
        <v>175</v>
      </c>
      <c r="C13" s="117">
        <v>10</v>
      </c>
      <c r="D13" s="377">
        <v>5</v>
      </c>
    </row>
    <row r="14" spans="1:4" ht="24.95" customHeight="1" x14ac:dyDescent="0.15">
      <c r="A14" s="462"/>
      <c r="B14" s="80" t="s">
        <v>174</v>
      </c>
      <c r="C14" s="81">
        <v>10</v>
      </c>
      <c r="D14" s="378">
        <v>6</v>
      </c>
    </row>
    <row r="15" spans="1:4" ht="24.95" customHeight="1" x14ac:dyDescent="0.15">
      <c r="A15" s="460" t="s">
        <v>143</v>
      </c>
      <c r="B15" s="75" t="s">
        <v>173</v>
      </c>
      <c r="C15" s="79">
        <v>10</v>
      </c>
      <c r="D15" s="374">
        <v>5</v>
      </c>
    </row>
    <row r="16" spans="1:4" ht="24.95" customHeight="1" x14ac:dyDescent="0.15">
      <c r="A16" s="461"/>
      <c r="B16" s="76" t="s">
        <v>172</v>
      </c>
      <c r="C16" s="77">
        <v>10</v>
      </c>
      <c r="D16" s="375">
        <v>5</v>
      </c>
    </row>
    <row r="17" spans="1:4" ht="24.95" customHeight="1" x14ac:dyDescent="0.15">
      <c r="A17" s="461"/>
      <c r="B17" s="76" t="s">
        <v>171</v>
      </c>
      <c r="C17" s="77">
        <v>10</v>
      </c>
      <c r="D17" s="375">
        <v>5</v>
      </c>
    </row>
    <row r="18" spans="1:4" ht="24.95" customHeight="1" x14ac:dyDescent="0.15">
      <c r="A18" s="462"/>
      <c r="B18" s="80" t="s">
        <v>170</v>
      </c>
      <c r="C18" s="81">
        <v>10</v>
      </c>
      <c r="D18" s="378">
        <v>5</v>
      </c>
    </row>
    <row r="19" spans="1:4" ht="24.95" customHeight="1" x14ac:dyDescent="0.15">
      <c r="A19" s="471"/>
      <c r="B19" s="337" t="s">
        <v>140</v>
      </c>
      <c r="C19" s="337">
        <f>SUM(C12:C18)</f>
        <v>70</v>
      </c>
      <c r="D19" s="338">
        <f>SUM(D12:D18)</f>
        <v>37</v>
      </c>
    </row>
    <row r="20" spans="1:4" ht="24.95" customHeight="1" x14ac:dyDescent="0.15">
      <c r="A20" s="464"/>
      <c r="B20" s="101" t="s">
        <v>139</v>
      </c>
      <c r="C20" s="101">
        <f>SUM(C11,C19)</f>
        <v>105</v>
      </c>
      <c r="D20" s="112">
        <f>SUM(D11,D19)</f>
        <v>58</v>
      </c>
    </row>
    <row r="21" spans="1:4" ht="9.9499999999999993" customHeight="1" x14ac:dyDescent="0.15">
      <c r="A21" s="69"/>
      <c r="B21" s="69"/>
      <c r="C21" s="69"/>
      <c r="D21" s="69"/>
    </row>
    <row r="22" spans="1:4" ht="24.95" customHeight="1" x14ac:dyDescent="0.15">
      <c r="A22" s="465" t="s">
        <v>179</v>
      </c>
      <c r="B22" s="466"/>
      <c r="C22" s="39"/>
      <c r="D22" s="39">
        <v>0</v>
      </c>
    </row>
    <row r="23" spans="1:4" ht="24.95" customHeight="1" x14ac:dyDescent="0.15">
      <c r="A23" s="465" t="s">
        <v>180</v>
      </c>
      <c r="B23" s="466"/>
      <c r="C23" s="39"/>
      <c r="D23" s="39">
        <v>1</v>
      </c>
    </row>
    <row r="24" spans="1:4" ht="9.9499999999999993" customHeight="1" x14ac:dyDescent="0.15">
      <c r="A24" s="82"/>
      <c r="B24" s="82"/>
      <c r="C24" s="82"/>
      <c r="D24" s="83"/>
    </row>
    <row r="25" spans="1:4" ht="24.95" customHeight="1" x14ac:dyDescent="0.15">
      <c r="A25" s="450" t="s">
        <v>181</v>
      </c>
      <c r="B25" s="450"/>
      <c r="C25" s="39"/>
      <c r="D25" s="39">
        <f>D23-D22</f>
        <v>1</v>
      </c>
    </row>
    <row r="26" spans="1:4" ht="24.95" customHeight="1" x14ac:dyDescent="0.15">
      <c r="A26" s="450" t="s">
        <v>182</v>
      </c>
      <c r="B26" s="450"/>
      <c r="C26" s="39"/>
      <c r="D26" s="39">
        <f>D20+D25</f>
        <v>59</v>
      </c>
    </row>
    <row r="27" spans="1:4" ht="9.9499999999999993" customHeight="1" x14ac:dyDescent="0.15">
      <c r="A27" s="82"/>
      <c r="B27" s="82"/>
      <c r="C27" s="82"/>
      <c r="D27" s="83"/>
    </row>
    <row r="28" spans="1:4" ht="24.95" customHeight="1" x14ac:dyDescent="0.15">
      <c r="A28" s="450" t="s">
        <v>183</v>
      </c>
      <c r="B28" s="450"/>
      <c r="C28" s="39"/>
      <c r="D28" s="48">
        <f>D26</f>
        <v>59</v>
      </c>
    </row>
    <row r="29" spans="1:4" ht="30" customHeight="1" x14ac:dyDescent="0.15">
      <c r="A29" s="467" t="s">
        <v>184</v>
      </c>
      <c r="B29" s="467"/>
      <c r="C29" s="113"/>
      <c r="D29" s="52">
        <f>INT(D28+0.5)</f>
        <v>59</v>
      </c>
    </row>
  </sheetData>
  <mergeCells count="10">
    <mergeCell ref="A25:B25"/>
    <mergeCell ref="A26:B26"/>
    <mergeCell ref="A28:B28"/>
    <mergeCell ref="A29:B29"/>
    <mergeCell ref="A4:A10"/>
    <mergeCell ref="A12:A14"/>
    <mergeCell ref="A15:A18"/>
    <mergeCell ref="A19:A20"/>
    <mergeCell ref="A22:B22"/>
    <mergeCell ref="A23:B23"/>
  </mergeCells>
  <phoneticPr fontId="16"/>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pageSetUpPr fitToPage="1"/>
  </sheetPr>
  <dimension ref="A1:J29"/>
  <sheetViews>
    <sheetView zoomScale="75" zoomScaleNormal="75" workbookViewId="0">
      <selection activeCell="D3" sqref="D3"/>
    </sheetView>
  </sheetViews>
  <sheetFormatPr defaultColWidth="12" defaultRowHeight="24.95" customHeight="1" x14ac:dyDescent="0.15"/>
  <cols>
    <col min="1" max="1" width="12" style="53"/>
    <col min="2" max="2" width="65.125" style="53" customWidth="1"/>
    <col min="3" max="3" width="8.625" style="53" customWidth="1"/>
    <col min="4" max="4" width="12" style="53"/>
    <col min="5" max="16384" width="12" style="33"/>
  </cols>
  <sheetData>
    <row r="1" spans="1:10" s="34" customFormat="1" ht="24.95" customHeight="1" x14ac:dyDescent="0.15">
      <c r="A1" s="84" t="s">
        <v>276</v>
      </c>
      <c r="B1" s="67"/>
      <c r="C1" s="67"/>
      <c r="D1" s="67"/>
    </row>
    <row r="2" spans="1:10" ht="24.95" customHeight="1" x14ac:dyDescent="0.15">
      <c r="A2" s="67" t="s">
        <v>254</v>
      </c>
    </row>
    <row r="3" spans="1:10" ht="24.95" customHeight="1" x14ac:dyDescent="0.15">
      <c r="A3" s="115"/>
      <c r="B3" s="115" t="s">
        <v>153</v>
      </c>
      <c r="C3" s="115" t="s">
        <v>152</v>
      </c>
      <c r="D3" s="115"/>
      <c r="G3" s="33" t="s">
        <v>265</v>
      </c>
      <c r="H3" s="33" t="s">
        <v>266</v>
      </c>
      <c r="I3" s="33" t="s">
        <v>267</v>
      </c>
    </row>
    <row r="4" spans="1:10" ht="24.95" customHeight="1" x14ac:dyDescent="0.15">
      <c r="A4" s="460" t="s">
        <v>151</v>
      </c>
      <c r="B4" s="75" t="s">
        <v>150</v>
      </c>
      <c r="C4" s="79">
        <v>5</v>
      </c>
      <c r="D4" s="360"/>
      <c r="G4" s="320">
        <v>4</v>
      </c>
      <c r="H4" s="327">
        <v>4</v>
      </c>
      <c r="I4" s="327">
        <v>4</v>
      </c>
      <c r="J4" s="348">
        <f>SUM(G4:I4)/3</f>
        <v>4</v>
      </c>
    </row>
    <row r="5" spans="1:10" ht="24.95" customHeight="1" x14ac:dyDescent="0.15">
      <c r="A5" s="461"/>
      <c r="B5" s="76" t="s">
        <v>149</v>
      </c>
      <c r="C5" s="77">
        <v>5</v>
      </c>
      <c r="D5" s="361"/>
      <c r="G5" s="319">
        <v>3</v>
      </c>
      <c r="H5" s="328">
        <v>3</v>
      </c>
      <c r="I5" s="328">
        <v>4</v>
      </c>
      <c r="J5" s="348">
        <f t="shared" ref="J5:J10" si="0">SUM(G5:I5)/3</f>
        <v>3.3333333333333335</v>
      </c>
    </row>
    <row r="6" spans="1:10" ht="24.95" customHeight="1" x14ac:dyDescent="0.15">
      <c r="A6" s="461"/>
      <c r="B6" s="76" t="s">
        <v>142</v>
      </c>
      <c r="C6" s="77">
        <v>5</v>
      </c>
      <c r="D6" s="361"/>
      <c r="G6" s="319">
        <v>3</v>
      </c>
      <c r="H6" s="328">
        <v>3</v>
      </c>
      <c r="I6" s="328">
        <v>3</v>
      </c>
      <c r="J6" s="348">
        <f t="shared" si="0"/>
        <v>3</v>
      </c>
    </row>
    <row r="7" spans="1:10" ht="24.95" customHeight="1" x14ac:dyDescent="0.15">
      <c r="A7" s="461"/>
      <c r="B7" s="76" t="s">
        <v>148</v>
      </c>
      <c r="C7" s="77">
        <v>5</v>
      </c>
      <c r="D7" s="361"/>
      <c r="G7" s="319">
        <v>3</v>
      </c>
      <c r="H7" s="328">
        <v>3</v>
      </c>
      <c r="I7" s="328">
        <v>3</v>
      </c>
      <c r="J7" s="348">
        <f t="shared" si="0"/>
        <v>3</v>
      </c>
    </row>
    <row r="8" spans="1:10" ht="24.95" customHeight="1" x14ac:dyDescent="0.15">
      <c r="A8" s="461"/>
      <c r="B8" s="76" t="s">
        <v>147</v>
      </c>
      <c r="C8" s="77">
        <v>5</v>
      </c>
      <c r="D8" s="361"/>
      <c r="G8" s="319">
        <v>4</v>
      </c>
      <c r="H8" s="328">
        <v>4</v>
      </c>
      <c r="I8" s="328">
        <v>4</v>
      </c>
      <c r="J8" s="348">
        <f t="shared" si="0"/>
        <v>4</v>
      </c>
    </row>
    <row r="9" spans="1:10" ht="24.95" customHeight="1" x14ac:dyDescent="0.15">
      <c r="A9" s="461"/>
      <c r="B9" s="76" t="s">
        <v>146</v>
      </c>
      <c r="C9" s="77">
        <v>5</v>
      </c>
      <c r="D9" s="361"/>
      <c r="G9" s="319">
        <v>3</v>
      </c>
      <c r="H9" s="328">
        <v>3</v>
      </c>
      <c r="I9" s="328">
        <v>3</v>
      </c>
      <c r="J9" s="348">
        <f t="shared" si="0"/>
        <v>3</v>
      </c>
    </row>
    <row r="10" spans="1:10" ht="24.95" customHeight="1" x14ac:dyDescent="0.15">
      <c r="A10" s="461"/>
      <c r="B10" s="78" t="s">
        <v>145</v>
      </c>
      <c r="C10" s="110">
        <v>5</v>
      </c>
      <c r="D10" s="362"/>
      <c r="G10" s="342">
        <v>3</v>
      </c>
      <c r="H10" s="330">
        <v>3</v>
      </c>
      <c r="I10" s="330">
        <v>3</v>
      </c>
      <c r="J10" s="348">
        <f t="shared" si="0"/>
        <v>3</v>
      </c>
    </row>
    <row r="11" spans="1:10" ht="24.95" customHeight="1" x14ac:dyDescent="0.15">
      <c r="A11" s="101"/>
      <c r="B11" s="101" t="s">
        <v>140</v>
      </c>
      <c r="C11" s="101">
        <f>SUM(C4:C10)</f>
        <v>35</v>
      </c>
      <c r="D11" s="358">
        <f>SUM(D4:D10)</f>
        <v>0</v>
      </c>
      <c r="G11" s="101">
        <f>SUM(G4:G10)</f>
        <v>23</v>
      </c>
      <c r="H11" s="112">
        <f>SUM(H4:H10)</f>
        <v>23</v>
      </c>
      <c r="I11" s="112">
        <f>SUM(I4:I10)</f>
        <v>24</v>
      </c>
      <c r="J11" s="348">
        <f>SUM(G11:I11)/3</f>
        <v>23.333333333333332</v>
      </c>
    </row>
    <row r="12" spans="1:10" ht="24.95" customHeight="1" x14ac:dyDescent="0.15">
      <c r="A12" s="334" t="s">
        <v>255</v>
      </c>
      <c r="B12" s="334" t="s">
        <v>256</v>
      </c>
      <c r="C12" s="335">
        <v>10</v>
      </c>
      <c r="D12" s="359"/>
      <c r="G12" s="346">
        <v>6</v>
      </c>
      <c r="H12" s="336">
        <v>6</v>
      </c>
      <c r="I12" s="336">
        <v>7</v>
      </c>
      <c r="J12" s="348">
        <f>SUM(G12:I12)/3</f>
        <v>6.333333333333333</v>
      </c>
    </row>
    <row r="13" spans="1:10" ht="24.95" customHeight="1" x14ac:dyDescent="0.15">
      <c r="A13" s="472" t="s">
        <v>263</v>
      </c>
      <c r="B13" s="334" t="s">
        <v>257</v>
      </c>
      <c r="C13" s="335">
        <v>10</v>
      </c>
      <c r="D13" s="360"/>
      <c r="G13" s="346">
        <v>6</v>
      </c>
      <c r="H13" s="336">
        <v>5</v>
      </c>
      <c r="I13" s="336">
        <v>6</v>
      </c>
      <c r="J13" s="348">
        <f t="shared" ref="J13:J18" si="1">SUM(G13:I13)/3</f>
        <v>5.666666666666667</v>
      </c>
    </row>
    <row r="14" spans="1:10" ht="24.95" customHeight="1" x14ac:dyDescent="0.15">
      <c r="A14" s="473"/>
      <c r="B14" s="78" t="s">
        <v>258</v>
      </c>
      <c r="C14" s="110">
        <v>10</v>
      </c>
      <c r="D14" s="361"/>
      <c r="G14" s="342">
        <v>6</v>
      </c>
      <c r="H14" s="330">
        <v>5</v>
      </c>
      <c r="I14" s="330">
        <v>6</v>
      </c>
      <c r="J14" s="348">
        <f t="shared" si="1"/>
        <v>5.666666666666667</v>
      </c>
    </row>
    <row r="15" spans="1:10" ht="24.95" customHeight="1" x14ac:dyDescent="0.15">
      <c r="A15" s="473"/>
      <c r="B15" s="76" t="s">
        <v>259</v>
      </c>
      <c r="C15" s="77">
        <v>10</v>
      </c>
      <c r="D15" s="361"/>
      <c r="G15" s="319">
        <v>5</v>
      </c>
      <c r="H15" s="328">
        <v>5</v>
      </c>
      <c r="I15" s="328">
        <v>7</v>
      </c>
      <c r="J15" s="348">
        <f t="shared" si="1"/>
        <v>5.666666666666667</v>
      </c>
    </row>
    <row r="16" spans="1:10" ht="24.95" customHeight="1" x14ac:dyDescent="0.15">
      <c r="A16" s="473"/>
      <c r="B16" s="76" t="s">
        <v>260</v>
      </c>
      <c r="C16" s="77">
        <v>10</v>
      </c>
      <c r="D16" s="361"/>
      <c r="G16" s="319">
        <v>5</v>
      </c>
      <c r="H16" s="328">
        <v>5</v>
      </c>
      <c r="I16" s="328">
        <v>5</v>
      </c>
      <c r="J16" s="348">
        <f t="shared" si="1"/>
        <v>5</v>
      </c>
    </row>
    <row r="17" spans="1:10" ht="24.95" customHeight="1" x14ac:dyDescent="0.15">
      <c r="A17" s="474"/>
      <c r="B17" s="80" t="s">
        <v>261</v>
      </c>
      <c r="C17" s="81">
        <v>10</v>
      </c>
      <c r="D17" s="362"/>
      <c r="G17" s="321">
        <v>4</v>
      </c>
      <c r="H17" s="329">
        <v>4</v>
      </c>
      <c r="I17" s="329">
        <v>4</v>
      </c>
      <c r="J17" s="348">
        <f t="shared" si="1"/>
        <v>4</v>
      </c>
    </row>
    <row r="18" spans="1:10" ht="24.95" customHeight="1" x14ac:dyDescent="0.15">
      <c r="A18" s="339" t="s">
        <v>264</v>
      </c>
      <c r="B18" s="339" t="s">
        <v>262</v>
      </c>
      <c r="C18" s="340">
        <v>10</v>
      </c>
      <c r="D18" s="359"/>
      <c r="G18" s="347">
        <v>5</v>
      </c>
      <c r="H18" s="341">
        <v>5</v>
      </c>
      <c r="I18" s="341">
        <v>5</v>
      </c>
      <c r="J18" s="348">
        <f t="shared" si="1"/>
        <v>5</v>
      </c>
    </row>
    <row r="19" spans="1:10" ht="24.95" customHeight="1" x14ac:dyDescent="0.15">
      <c r="A19" s="471"/>
      <c r="B19" s="337" t="s">
        <v>140</v>
      </c>
      <c r="C19" s="337">
        <f>SUM(C12:C18)</f>
        <v>70</v>
      </c>
      <c r="D19" s="363">
        <f>SUM(D12:D18)</f>
        <v>0</v>
      </c>
      <c r="G19" s="337">
        <f>SUM(G12:G18)</f>
        <v>37</v>
      </c>
      <c r="H19" s="338">
        <f>SUM(H12:H18)</f>
        <v>35</v>
      </c>
      <c r="I19" s="338">
        <f>SUM(I12:I18)</f>
        <v>40</v>
      </c>
      <c r="J19" s="348">
        <f>SUM(G19:I19)/3</f>
        <v>37.333333333333336</v>
      </c>
    </row>
    <row r="20" spans="1:10" ht="24.95" customHeight="1" x14ac:dyDescent="0.15">
      <c r="A20" s="464"/>
      <c r="B20" s="101" t="s">
        <v>139</v>
      </c>
      <c r="C20" s="101">
        <f>SUM(C11,C19)</f>
        <v>105</v>
      </c>
      <c r="D20" s="358">
        <f>SUM(D11,D19)</f>
        <v>0</v>
      </c>
      <c r="G20" s="101">
        <f>SUM(G11,G19)</f>
        <v>60</v>
      </c>
      <c r="H20" s="112">
        <f>SUM(H11,H19)</f>
        <v>58</v>
      </c>
      <c r="I20" s="112">
        <f>SUM(I11,I19)</f>
        <v>64</v>
      </c>
      <c r="J20" s="348">
        <f>SUM(G20:I20)/3</f>
        <v>60.666666666666664</v>
      </c>
    </row>
    <row r="21" spans="1:10" ht="9.9499999999999993" customHeight="1" x14ac:dyDescent="0.15">
      <c r="A21" s="69"/>
      <c r="B21" s="69"/>
      <c r="C21" s="69"/>
      <c r="D21" s="69"/>
    </row>
    <row r="22" spans="1:10" ht="24.95" customHeight="1" x14ac:dyDescent="0.15">
      <c r="A22" s="465" t="s">
        <v>179</v>
      </c>
      <c r="B22" s="466"/>
      <c r="C22" s="39"/>
      <c r="D22" s="39">
        <v>0</v>
      </c>
    </row>
    <row r="23" spans="1:10" ht="24.95" customHeight="1" x14ac:dyDescent="0.15">
      <c r="A23" s="465" t="s">
        <v>180</v>
      </c>
      <c r="B23" s="466"/>
      <c r="C23" s="39"/>
      <c r="D23" s="39">
        <v>1</v>
      </c>
    </row>
    <row r="24" spans="1:10" ht="9.9499999999999993" customHeight="1" x14ac:dyDescent="0.15">
      <c r="A24" s="82"/>
      <c r="B24" s="82"/>
      <c r="C24" s="82"/>
      <c r="D24" s="83"/>
    </row>
    <row r="25" spans="1:10" ht="24.95" customHeight="1" x14ac:dyDescent="0.15">
      <c r="A25" s="450" t="s">
        <v>181</v>
      </c>
      <c r="B25" s="450"/>
      <c r="C25" s="39"/>
      <c r="D25" s="39">
        <f>D23-D22</f>
        <v>1</v>
      </c>
    </row>
    <row r="26" spans="1:10" ht="24.95" customHeight="1" x14ac:dyDescent="0.15">
      <c r="A26" s="450" t="s">
        <v>182</v>
      </c>
      <c r="B26" s="450"/>
      <c r="C26" s="39"/>
      <c r="D26" s="48">
        <f>D20+D25</f>
        <v>1</v>
      </c>
    </row>
    <row r="27" spans="1:10" ht="9.9499999999999993" customHeight="1" x14ac:dyDescent="0.15">
      <c r="A27" s="82"/>
      <c r="B27" s="82"/>
      <c r="C27" s="82"/>
      <c r="D27" s="83"/>
    </row>
    <row r="28" spans="1:10" ht="24.95" customHeight="1" x14ac:dyDescent="0.15">
      <c r="A28" s="450" t="s">
        <v>183</v>
      </c>
      <c r="B28" s="450"/>
      <c r="C28" s="39"/>
      <c r="D28" s="48">
        <f>D26</f>
        <v>1</v>
      </c>
    </row>
    <row r="29" spans="1:10" ht="30" customHeight="1" x14ac:dyDescent="0.15">
      <c r="A29" s="467" t="s">
        <v>184</v>
      </c>
      <c r="B29" s="467"/>
      <c r="C29" s="113"/>
      <c r="D29" s="52">
        <f>INT(D28+0.5)</f>
        <v>1</v>
      </c>
    </row>
  </sheetData>
  <mergeCells count="9">
    <mergeCell ref="A25:B25"/>
    <mergeCell ref="A26:B26"/>
    <mergeCell ref="A28:B28"/>
    <mergeCell ref="A29:B29"/>
    <mergeCell ref="A4:A10"/>
    <mergeCell ref="A19:A20"/>
    <mergeCell ref="A22:B22"/>
    <mergeCell ref="A23:B23"/>
    <mergeCell ref="A13:A17"/>
  </mergeCells>
  <phoneticPr fontId="16"/>
  <pageMargins left="0.7" right="0.7" top="0.75" bottom="0.75" header="0.3" footer="0.3"/>
  <pageSetup paperSize="9" scale="70" orientation="landscape"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0"/>
  <sheetViews>
    <sheetView zoomScale="78" zoomScaleNormal="78" workbookViewId="0">
      <selection activeCell="B2" sqref="B2"/>
    </sheetView>
  </sheetViews>
  <sheetFormatPr defaultColWidth="8.625" defaultRowHeight="18.75" x14ac:dyDescent="0.15"/>
  <cols>
    <col min="1" max="1" width="7.125" style="4" customWidth="1"/>
    <col min="2" max="2" width="20.625" style="4" customWidth="1"/>
    <col min="3" max="3" width="25.625" style="4" customWidth="1"/>
    <col min="4" max="4" width="120.625" style="4" customWidth="1"/>
    <col min="5" max="5" width="9.5" style="4" bestFit="1" customWidth="1"/>
    <col min="6" max="16384" width="8.625" style="4"/>
  </cols>
  <sheetData>
    <row r="1" spans="1:5" ht="24.95" customHeight="1" x14ac:dyDescent="0.15">
      <c r="A1" s="17"/>
      <c r="B1" s="17" t="s">
        <v>178</v>
      </c>
      <c r="D1" s="19" t="s">
        <v>21</v>
      </c>
      <c r="E1" s="28" t="s">
        <v>124</v>
      </c>
    </row>
    <row r="2" spans="1:5" ht="24.95" customHeight="1" x14ac:dyDescent="0.15">
      <c r="A2" s="20" t="s">
        <v>22</v>
      </c>
      <c r="B2" s="21" t="s">
        <v>23</v>
      </c>
      <c r="C2" s="22" t="s">
        <v>24</v>
      </c>
      <c r="D2" s="23" t="s">
        <v>25</v>
      </c>
      <c r="E2" s="20" t="s">
        <v>26</v>
      </c>
    </row>
    <row r="3" spans="1:5" ht="21.95" customHeight="1" x14ac:dyDescent="0.15">
      <c r="A3" s="24" t="s">
        <v>27</v>
      </c>
      <c r="B3" s="475" t="s">
        <v>28</v>
      </c>
      <c r="C3" s="22" t="s">
        <v>29</v>
      </c>
      <c r="D3" s="11" t="s">
        <v>30</v>
      </c>
      <c r="E3" s="364">
        <v>2</v>
      </c>
    </row>
    <row r="4" spans="1:5" ht="21.95" customHeight="1" x14ac:dyDescent="0.15">
      <c r="A4" s="24" t="s">
        <v>31</v>
      </c>
      <c r="B4" s="475"/>
      <c r="C4" s="22" t="s">
        <v>32</v>
      </c>
      <c r="D4" s="11" t="s">
        <v>33</v>
      </c>
      <c r="E4" s="364">
        <v>2</v>
      </c>
    </row>
    <row r="5" spans="1:5" ht="21.95" customHeight="1" x14ac:dyDescent="0.15">
      <c r="A5" s="24" t="s">
        <v>34</v>
      </c>
      <c r="B5" s="475" t="s">
        <v>35</v>
      </c>
      <c r="C5" s="22" t="s">
        <v>36</v>
      </c>
      <c r="D5" s="11" t="s">
        <v>37</v>
      </c>
      <c r="E5" s="364">
        <v>2</v>
      </c>
    </row>
    <row r="6" spans="1:5" ht="21.95" customHeight="1" x14ac:dyDescent="0.15">
      <c r="A6" s="24" t="s">
        <v>38</v>
      </c>
      <c r="B6" s="475"/>
      <c r="C6" s="476" t="s">
        <v>39</v>
      </c>
      <c r="D6" s="11" t="s">
        <v>40</v>
      </c>
      <c r="E6" s="477">
        <v>2</v>
      </c>
    </row>
    <row r="7" spans="1:5" ht="21.95" customHeight="1" x14ac:dyDescent="0.15">
      <c r="A7" s="24" t="s">
        <v>41</v>
      </c>
      <c r="B7" s="475"/>
      <c r="C7" s="476"/>
      <c r="D7" s="11" t="s">
        <v>42</v>
      </c>
      <c r="E7" s="478"/>
    </row>
    <row r="8" spans="1:5" ht="21.95" customHeight="1" x14ac:dyDescent="0.15">
      <c r="A8" s="24" t="s">
        <v>43</v>
      </c>
      <c r="B8" s="475"/>
      <c r="C8" s="22" t="s">
        <v>44</v>
      </c>
      <c r="D8" s="11" t="s">
        <v>45</v>
      </c>
      <c r="E8" s="364">
        <v>1</v>
      </c>
    </row>
    <row r="9" spans="1:5" ht="21.95" customHeight="1" x14ac:dyDescent="0.15">
      <c r="A9" s="24" t="s">
        <v>46</v>
      </c>
      <c r="B9" s="475"/>
      <c r="C9" s="476" t="s">
        <v>47</v>
      </c>
      <c r="D9" s="11" t="s">
        <v>48</v>
      </c>
      <c r="E9" s="477">
        <v>2</v>
      </c>
    </row>
    <row r="10" spans="1:5" ht="21.95" customHeight="1" x14ac:dyDescent="0.15">
      <c r="A10" s="24" t="s">
        <v>49</v>
      </c>
      <c r="B10" s="475"/>
      <c r="C10" s="476"/>
      <c r="D10" s="11" t="s">
        <v>50</v>
      </c>
      <c r="E10" s="479"/>
    </row>
    <row r="11" spans="1:5" ht="21.95" customHeight="1" x14ac:dyDescent="0.15">
      <c r="A11" s="24" t="s">
        <v>51</v>
      </c>
      <c r="B11" s="475"/>
      <c r="C11" s="476"/>
      <c r="D11" s="11" t="s">
        <v>52</v>
      </c>
      <c r="E11" s="479"/>
    </row>
    <row r="12" spans="1:5" ht="21.95" customHeight="1" x14ac:dyDescent="0.15">
      <c r="A12" s="24" t="s">
        <v>53</v>
      </c>
      <c r="B12" s="475"/>
      <c r="C12" s="476"/>
      <c r="D12" s="11" t="s">
        <v>54</v>
      </c>
      <c r="E12" s="479"/>
    </row>
    <row r="13" spans="1:5" ht="21.95" customHeight="1" x14ac:dyDescent="0.15">
      <c r="A13" s="24" t="s">
        <v>55</v>
      </c>
      <c r="B13" s="475"/>
      <c r="C13" s="476"/>
      <c r="D13" s="11" t="s">
        <v>56</v>
      </c>
      <c r="E13" s="479"/>
    </row>
    <row r="14" spans="1:5" ht="21.95" customHeight="1" x14ac:dyDescent="0.15">
      <c r="A14" s="24" t="s">
        <v>57</v>
      </c>
      <c r="B14" s="475"/>
      <c r="C14" s="476"/>
      <c r="D14" s="11" t="s">
        <v>58</v>
      </c>
      <c r="E14" s="478"/>
    </row>
    <row r="15" spans="1:5" ht="21.95" customHeight="1" x14ac:dyDescent="0.15">
      <c r="A15" s="24" t="s">
        <v>59</v>
      </c>
      <c r="B15" s="475" t="s">
        <v>60</v>
      </c>
      <c r="C15" s="476" t="s">
        <v>61</v>
      </c>
      <c r="D15" s="11" t="s">
        <v>62</v>
      </c>
      <c r="E15" s="477">
        <v>3</v>
      </c>
    </row>
    <row r="16" spans="1:5" ht="21.95" customHeight="1" x14ac:dyDescent="0.15">
      <c r="A16" s="24" t="s">
        <v>63</v>
      </c>
      <c r="B16" s="475"/>
      <c r="C16" s="476"/>
      <c r="D16" s="11" t="s">
        <v>64</v>
      </c>
      <c r="E16" s="479"/>
    </row>
    <row r="17" spans="1:5" ht="21.95" customHeight="1" x14ac:dyDescent="0.15">
      <c r="A17" s="24" t="s">
        <v>65</v>
      </c>
      <c r="B17" s="475"/>
      <c r="C17" s="476"/>
      <c r="D17" s="11" t="s">
        <v>66</v>
      </c>
      <c r="E17" s="478"/>
    </row>
    <row r="18" spans="1:5" ht="21.95" customHeight="1" x14ac:dyDescent="0.15">
      <c r="A18" s="24" t="s">
        <v>67</v>
      </c>
      <c r="B18" s="475" t="s">
        <v>68</v>
      </c>
      <c r="C18" s="476" t="s">
        <v>69</v>
      </c>
      <c r="D18" s="11" t="s">
        <v>70</v>
      </c>
      <c r="E18" s="477">
        <v>3</v>
      </c>
    </row>
    <row r="19" spans="1:5" ht="21.95" customHeight="1" x14ac:dyDescent="0.15">
      <c r="A19" s="24" t="s">
        <v>71</v>
      </c>
      <c r="B19" s="475"/>
      <c r="C19" s="476"/>
      <c r="D19" s="11" t="s">
        <v>72</v>
      </c>
      <c r="E19" s="479"/>
    </row>
    <row r="20" spans="1:5" ht="21.95" customHeight="1" x14ac:dyDescent="0.15">
      <c r="A20" s="24" t="s">
        <v>73</v>
      </c>
      <c r="B20" s="475"/>
      <c r="C20" s="476"/>
      <c r="D20" s="11" t="s">
        <v>74</v>
      </c>
      <c r="E20" s="479"/>
    </row>
    <row r="21" spans="1:5" ht="21.95" customHeight="1" x14ac:dyDescent="0.15">
      <c r="A21" s="24" t="s">
        <v>75</v>
      </c>
      <c r="B21" s="475"/>
      <c r="C21" s="476"/>
      <c r="D21" s="11" t="s">
        <v>76</v>
      </c>
      <c r="E21" s="479"/>
    </row>
    <row r="22" spans="1:5" ht="21.95" customHeight="1" x14ac:dyDescent="0.15">
      <c r="A22" s="24" t="s">
        <v>77</v>
      </c>
      <c r="B22" s="475"/>
      <c r="C22" s="476"/>
      <c r="D22" s="11" t="s">
        <v>78</v>
      </c>
      <c r="E22" s="478"/>
    </row>
    <row r="23" spans="1:5" ht="21.95" customHeight="1" x14ac:dyDescent="0.15">
      <c r="A23" s="24" t="s">
        <v>79</v>
      </c>
      <c r="B23" s="475"/>
      <c r="C23" s="22" t="s">
        <v>80</v>
      </c>
      <c r="D23" s="11" t="s">
        <v>81</v>
      </c>
      <c r="E23" s="364">
        <v>2</v>
      </c>
    </row>
    <row r="24" spans="1:5" ht="21.95" customHeight="1" x14ac:dyDescent="0.15">
      <c r="A24" s="24" t="s">
        <v>82</v>
      </c>
      <c r="B24" s="475" t="s">
        <v>83</v>
      </c>
      <c r="C24" s="476" t="s">
        <v>83</v>
      </c>
      <c r="D24" s="11" t="s">
        <v>84</v>
      </c>
      <c r="E24" s="477">
        <v>2</v>
      </c>
    </row>
    <row r="25" spans="1:5" ht="21.95" customHeight="1" x14ac:dyDescent="0.15">
      <c r="A25" s="24" t="s">
        <v>85</v>
      </c>
      <c r="B25" s="475"/>
      <c r="C25" s="476"/>
      <c r="D25" s="11" t="s">
        <v>86</v>
      </c>
      <c r="E25" s="478"/>
    </row>
    <row r="26" spans="1:5" ht="21.95" customHeight="1" x14ac:dyDescent="0.15">
      <c r="A26" s="24" t="s">
        <v>87</v>
      </c>
      <c r="B26" s="475"/>
      <c r="C26" s="476" t="s">
        <v>88</v>
      </c>
      <c r="D26" s="11" t="s">
        <v>89</v>
      </c>
      <c r="E26" s="477">
        <v>3</v>
      </c>
    </row>
    <row r="27" spans="1:5" ht="21.95" customHeight="1" x14ac:dyDescent="0.15">
      <c r="A27" s="24" t="s">
        <v>90</v>
      </c>
      <c r="B27" s="475"/>
      <c r="C27" s="476"/>
      <c r="D27" s="11" t="s">
        <v>91</v>
      </c>
      <c r="E27" s="478"/>
    </row>
    <row r="28" spans="1:5" ht="21.95" customHeight="1" x14ac:dyDescent="0.15">
      <c r="A28" s="24" t="s">
        <v>92</v>
      </c>
      <c r="B28" s="475"/>
      <c r="C28" s="22" t="s">
        <v>93</v>
      </c>
      <c r="D28" s="11" t="s">
        <v>94</v>
      </c>
      <c r="E28" s="364">
        <v>4</v>
      </c>
    </row>
    <row r="29" spans="1:5" ht="21.95" customHeight="1" x14ac:dyDescent="0.15">
      <c r="A29" s="24" t="s">
        <v>95</v>
      </c>
      <c r="B29" s="475" t="s">
        <v>96</v>
      </c>
      <c r="C29" s="476" t="s">
        <v>97</v>
      </c>
      <c r="D29" s="11" t="s">
        <v>98</v>
      </c>
      <c r="E29" s="477">
        <v>2</v>
      </c>
    </row>
    <row r="30" spans="1:5" ht="21.95" customHeight="1" x14ac:dyDescent="0.15">
      <c r="A30" s="24" t="s">
        <v>99</v>
      </c>
      <c r="B30" s="475"/>
      <c r="C30" s="476"/>
      <c r="D30" s="11" t="s">
        <v>100</v>
      </c>
      <c r="E30" s="478"/>
    </row>
    <row r="31" spans="1:5" ht="21.95" customHeight="1" x14ac:dyDescent="0.15">
      <c r="A31" s="24" t="s">
        <v>101</v>
      </c>
      <c r="B31" s="475"/>
      <c r="C31" s="476" t="s">
        <v>102</v>
      </c>
      <c r="D31" s="11" t="s">
        <v>103</v>
      </c>
      <c r="E31" s="477">
        <v>3</v>
      </c>
    </row>
    <row r="32" spans="1:5" ht="21.95" customHeight="1" x14ac:dyDescent="0.15">
      <c r="A32" s="24" t="s">
        <v>104</v>
      </c>
      <c r="B32" s="475"/>
      <c r="C32" s="476"/>
      <c r="D32" s="11" t="s">
        <v>105</v>
      </c>
      <c r="E32" s="478"/>
    </row>
    <row r="33" spans="1:5" ht="21.95" customHeight="1" x14ac:dyDescent="0.15">
      <c r="A33" s="24" t="s">
        <v>106</v>
      </c>
      <c r="B33" s="475"/>
      <c r="C33" s="476" t="s">
        <v>107</v>
      </c>
      <c r="D33" s="11" t="s">
        <v>108</v>
      </c>
      <c r="E33" s="477">
        <v>3</v>
      </c>
    </row>
    <row r="34" spans="1:5" ht="21.95" customHeight="1" x14ac:dyDescent="0.15">
      <c r="A34" s="24" t="s">
        <v>109</v>
      </c>
      <c r="B34" s="475"/>
      <c r="C34" s="476"/>
      <c r="D34" s="11" t="s">
        <v>110</v>
      </c>
      <c r="E34" s="478"/>
    </row>
    <row r="35" spans="1:5" ht="21.95" customHeight="1" x14ac:dyDescent="0.15">
      <c r="B35" s="25" t="s">
        <v>111</v>
      </c>
      <c r="C35" s="4" t="s">
        <v>112</v>
      </c>
      <c r="D35" s="26" t="s">
        <v>113</v>
      </c>
      <c r="E35" s="11">
        <f>SUM(E3:E34)</f>
        <v>36</v>
      </c>
    </row>
    <row r="36" spans="1:5" ht="21.95" customHeight="1" x14ac:dyDescent="0.15">
      <c r="B36" s="25" t="s">
        <v>114</v>
      </c>
      <c r="C36" s="4" t="s">
        <v>115</v>
      </c>
      <c r="D36" s="46" t="s">
        <v>191</v>
      </c>
      <c r="E36" s="43">
        <f>100/75*E35</f>
        <v>48</v>
      </c>
    </row>
    <row r="37" spans="1:5" x14ac:dyDescent="0.15">
      <c r="B37" s="25" t="s">
        <v>116</v>
      </c>
      <c r="C37" s="4" t="s">
        <v>117</v>
      </c>
      <c r="D37" s="42"/>
      <c r="E37" s="5"/>
    </row>
    <row r="38" spans="1:5" x14ac:dyDescent="0.15">
      <c r="B38" s="25" t="s">
        <v>118</v>
      </c>
      <c r="C38" s="4" t="s">
        <v>119</v>
      </c>
      <c r="E38" s="5"/>
    </row>
    <row r="39" spans="1:5" x14ac:dyDescent="0.15">
      <c r="B39" s="25" t="s">
        <v>120</v>
      </c>
      <c r="C39" s="4" t="s">
        <v>121</v>
      </c>
    </row>
    <row r="40" spans="1:5" x14ac:dyDescent="0.15">
      <c r="B40" s="25" t="s">
        <v>122</v>
      </c>
      <c r="C40" s="4" t="s">
        <v>123</v>
      </c>
    </row>
  </sheetData>
  <mergeCells count="24">
    <mergeCell ref="C33:C34"/>
    <mergeCell ref="E33:E34"/>
    <mergeCell ref="B24:B28"/>
    <mergeCell ref="C24:C25"/>
    <mergeCell ref="E24:E25"/>
    <mergeCell ref="C26:C27"/>
    <mergeCell ref="E26:E27"/>
    <mergeCell ref="B29:B34"/>
    <mergeCell ref="C29:C30"/>
    <mergeCell ref="E29:E30"/>
    <mergeCell ref="C31:C32"/>
    <mergeCell ref="E31:E32"/>
    <mergeCell ref="B15:B17"/>
    <mergeCell ref="C15:C17"/>
    <mergeCell ref="E15:E17"/>
    <mergeCell ref="B18:B23"/>
    <mergeCell ref="C18:C22"/>
    <mergeCell ref="E18:E22"/>
    <mergeCell ref="B3:B4"/>
    <mergeCell ref="B5:B14"/>
    <mergeCell ref="C6:C7"/>
    <mergeCell ref="E6:E7"/>
    <mergeCell ref="C9:C14"/>
    <mergeCell ref="E9:E14"/>
  </mergeCells>
  <phoneticPr fontId="16"/>
  <pageMargins left="0.7" right="0.7" top="0.75" bottom="0.75" header="0.3" footer="0.3"/>
  <pageSetup paperSize="9" scale="61"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0"/>
  <sheetViews>
    <sheetView zoomScale="80" zoomScaleNormal="80" workbookViewId="0">
      <selection activeCell="B2" sqref="B2"/>
    </sheetView>
  </sheetViews>
  <sheetFormatPr defaultColWidth="8.625" defaultRowHeight="18.75" x14ac:dyDescent="0.15"/>
  <cols>
    <col min="1" max="1" width="7.125" style="4" customWidth="1"/>
    <col min="2" max="2" width="20.625" style="4" customWidth="1"/>
    <col min="3" max="3" width="25.625" style="4" customWidth="1"/>
    <col min="4" max="4" width="120.625" style="4" customWidth="1"/>
    <col min="5" max="5" width="9.5" style="4" bestFit="1" customWidth="1"/>
    <col min="6" max="16384" width="8.625" style="4"/>
  </cols>
  <sheetData>
    <row r="1" spans="1:6" ht="24.95" customHeight="1" x14ac:dyDescent="0.15">
      <c r="A1" s="17"/>
      <c r="B1" s="18" t="s">
        <v>178</v>
      </c>
      <c r="D1" s="19" t="s">
        <v>21</v>
      </c>
      <c r="E1" s="332" t="s">
        <v>250</v>
      </c>
      <c r="F1" s="5" t="s">
        <v>251</v>
      </c>
    </row>
    <row r="2" spans="1:6" ht="24.95" customHeight="1" x14ac:dyDescent="0.15">
      <c r="A2" s="20" t="s">
        <v>22</v>
      </c>
      <c r="B2" s="21" t="s">
        <v>23</v>
      </c>
      <c r="C2" s="22" t="s">
        <v>24</v>
      </c>
      <c r="D2" s="23" t="s">
        <v>25</v>
      </c>
      <c r="E2" s="20" t="s">
        <v>26</v>
      </c>
      <c r="F2" s="20" t="s">
        <v>26</v>
      </c>
    </row>
    <row r="3" spans="1:6" ht="21.95" customHeight="1" x14ac:dyDescent="0.15">
      <c r="A3" s="24" t="s">
        <v>27</v>
      </c>
      <c r="B3" s="475" t="s">
        <v>28</v>
      </c>
      <c r="C3" s="22" t="s">
        <v>29</v>
      </c>
      <c r="D3" s="11" t="s">
        <v>30</v>
      </c>
      <c r="E3" s="11">
        <v>1</v>
      </c>
      <c r="F3" s="11">
        <v>1</v>
      </c>
    </row>
    <row r="4" spans="1:6" ht="21.95" customHeight="1" x14ac:dyDescent="0.15">
      <c r="A4" s="24" t="s">
        <v>31</v>
      </c>
      <c r="B4" s="475"/>
      <c r="C4" s="22" t="s">
        <v>32</v>
      </c>
      <c r="D4" s="11" t="s">
        <v>33</v>
      </c>
      <c r="E4" s="11">
        <v>1</v>
      </c>
      <c r="F4" s="11">
        <v>1</v>
      </c>
    </row>
    <row r="5" spans="1:6" ht="21.95" customHeight="1" x14ac:dyDescent="0.15">
      <c r="A5" s="24" t="s">
        <v>34</v>
      </c>
      <c r="B5" s="475" t="s">
        <v>35</v>
      </c>
      <c r="C5" s="22" t="s">
        <v>36</v>
      </c>
      <c r="D5" s="11" t="s">
        <v>37</v>
      </c>
      <c r="E5" s="11">
        <v>3</v>
      </c>
      <c r="F5" s="419">
        <v>2</v>
      </c>
    </row>
    <row r="6" spans="1:6" ht="21.95" customHeight="1" x14ac:dyDescent="0.15">
      <c r="A6" s="24" t="s">
        <v>38</v>
      </c>
      <c r="B6" s="475"/>
      <c r="C6" s="476" t="s">
        <v>39</v>
      </c>
      <c r="D6" s="11" t="s">
        <v>40</v>
      </c>
      <c r="E6" s="480">
        <v>2</v>
      </c>
      <c r="F6" s="480">
        <v>2</v>
      </c>
    </row>
    <row r="7" spans="1:6" ht="21.95" customHeight="1" x14ac:dyDescent="0.15">
      <c r="A7" s="24" t="s">
        <v>41</v>
      </c>
      <c r="B7" s="475"/>
      <c r="C7" s="476"/>
      <c r="D7" s="11" t="s">
        <v>42</v>
      </c>
      <c r="E7" s="481"/>
      <c r="F7" s="481"/>
    </row>
    <row r="8" spans="1:6" ht="21.95" customHeight="1" x14ac:dyDescent="0.15">
      <c r="A8" s="24" t="s">
        <v>43</v>
      </c>
      <c r="B8" s="475"/>
      <c r="C8" s="22" t="s">
        <v>44</v>
      </c>
      <c r="D8" s="11" t="s">
        <v>45</v>
      </c>
      <c r="E8" s="11">
        <v>1</v>
      </c>
      <c r="F8" s="11">
        <v>1</v>
      </c>
    </row>
    <row r="9" spans="1:6" ht="21.95" customHeight="1" x14ac:dyDescent="0.15">
      <c r="A9" s="24" t="s">
        <v>46</v>
      </c>
      <c r="B9" s="475"/>
      <c r="C9" s="476" t="s">
        <v>47</v>
      </c>
      <c r="D9" s="11" t="s">
        <v>48</v>
      </c>
      <c r="E9" s="480">
        <v>2</v>
      </c>
      <c r="F9" s="480">
        <v>2</v>
      </c>
    </row>
    <row r="10" spans="1:6" ht="21.95" customHeight="1" x14ac:dyDescent="0.15">
      <c r="A10" s="24" t="s">
        <v>49</v>
      </c>
      <c r="B10" s="475"/>
      <c r="C10" s="476"/>
      <c r="D10" s="11" t="s">
        <v>50</v>
      </c>
      <c r="E10" s="482"/>
      <c r="F10" s="482"/>
    </row>
    <row r="11" spans="1:6" ht="21.95" customHeight="1" x14ac:dyDescent="0.15">
      <c r="A11" s="24" t="s">
        <v>51</v>
      </c>
      <c r="B11" s="475"/>
      <c r="C11" s="476"/>
      <c r="D11" s="11" t="s">
        <v>52</v>
      </c>
      <c r="E11" s="482"/>
      <c r="F11" s="482"/>
    </row>
    <row r="12" spans="1:6" ht="21.95" customHeight="1" x14ac:dyDescent="0.15">
      <c r="A12" s="24" t="s">
        <v>53</v>
      </c>
      <c r="B12" s="475"/>
      <c r="C12" s="476"/>
      <c r="D12" s="11" t="s">
        <v>54</v>
      </c>
      <c r="E12" s="482"/>
      <c r="F12" s="482"/>
    </row>
    <row r="13" spans="1:6" ht="21.95" customHeight="1" x14ac:dyDescent="0.15">
      <c r="A13" s="24" t="s">
        <v>55</v>
      </c>
      <c r="B13" s="475"/>
      <c r="C13" s="476"/>
      <c r="D13" s="11" t="s">
        <v>56</v>
      </c>
      <c r="E13" s="482"/>
      <c r="F13" s="482"/>
    </row>
    <row r="14" spans="1:6" ht="21.95" customHeight="1" x14ac:dyDescent="0.15">
      <c r="A14" s="24" t="s">
        <v>57</v>
      </c>
      <c r="B14" s="475"/>
      <c r="C14" s="476"/>
      <c r="D14" s="11" t="s">
        <v>58</v>
      </c>
      <c r="E14" s="481"/>
      <c r="F14" s="481"/>
    </row>
    <row r="15" spans="1:6" ht="21.95" customHeight="1" x14ac:dyDescent="0.15">
      <c r="A15" s="24" t="s">
        <v>59</v>
      </c>
      <c r="B15" s="475" t="s">
        <v>60</v>
      </c>
      <c r="C15" s="476" t="s">
        <v>61</v>
      </c>
      <c r="D15" s="11" t="s">
        <v>62</v>
      </c>
      <c r="E15" s="480">
        <v>2</v>
      </c>
      <c r="F15" s="480">
        <v>2</v>
      </c>
    </row>
    <row r="16" spans="1:6" ht="21.95" customHeight="1" x14ac:dyDescent="0.15">
      <c r="A16" s="24" t="s">
        <v>63</v>
      </c>
      <c r="B16" s="475"/>
      <c r="C16" s="476"/>
      <c r="D16" s="11" t="s">
        <v>64</v>
      </c>
      <c r="E16" s="482"/>
      <c r="F16" s="482"/>
    </row>
    <row r="17" spans="1:6" ht="21.95" customHeight="1" x14ac:dyDescent="0.15">
      <c r="A17" s="24" t="s">
        <v>65</v>
      </c>
      <c r="B17" s="475"/>
      <c r="C17" s="476"/>
      <c r="D17" s="11" t="s">
        <v>66</v>
      </c>
      <c r="E17" s="481"/>
      <c r="F17" s="481"/>
    </row>
    <row r="18" spans="1:6" ht="21.95" customHeight="1" x14ac:dyDescent="0.15">
      <c r="A18" s="24" t="s">
        <v>67</v>
      </c>
      <c r="B18" s="475" t="s">
        <v>68</v>
      </c>
      <c r="C18" s="476" t="s">
        <v>69</v>
      </c>
      <c r="D18" s="11" t="s">
        <v>70</v>
      </c>
      <c r="E18" s="480">
        <v>2</v>
      </c>
      <c r="F18" s="480">
        <v>2</v>
      </c>
    </row>
    <row r="19" spans="1:6" ht="21.95" customHeight="1" x14ac:dyDescent="0.15">
      <c r="A19" s="24" t="s">
        <v>71</v>
      </c>
      <c r="B19" s="475"/>
      <c r="C19" s="476"/>
      <c r="D19" s="11" t="s">
        <v>72</v>
      </c>
      <c r="E19" s="482"/>
      <c r="F19" s="482"/>
    </row>
    <row r="20" spans="1:6" ht="21.95" customHeight="1" x14ac:dyDescent="0.15">
      <c r="A20" s="24" t="s">
        <v>73</v>
      </c>
      <c r="B20" s="475"/>
      <c r="C20" s="476"/>
      <c r="D20" s="11" t="s">
        <v>74</v>
      </c>
      <c r="E20" s="482"/>
      <c r="F20" s="482"/>
    </row>
    <row r="21" spans="1:6" ht="21.95" customHeight="1" x14ac:dyDescent="0.15">
      <c r="A21" s="24" t="s">
        <v>75</v>
      </c>
      <c r="B21" s="475"/>
      <c r="C21" s="476"/>
      <c r="D21" s="11" t="s">
        <v>76</v>
      </c>
      <c r="E21" s="482"/>
      <c r="F21" s="482"/>
    </row>
    <row r="22" spans="1:6" ht="21.95" customHeight="1" x14ac:dyDescent="0.15">
      <c r="A22" s="24" t="s">
        <v>77</v>
      </c>
      <c r="B22" s="475"/>
      <c r="C22" s="476"/>
      <c r="D22" s="11" t="s">
        <v>78</v>
      </c>
      <c r="E22" s="481"/>
      <c r="F22" s="481"/>
    </row>
    <row r="23" spans="1:6" ht="21.95" customHeight="1" x14ac:dyDescent="0.15">
      <c r="A23" s="24" t="s">
        <v>79</v>
      </c>
      <c r="B23" s="475"/>
      <c r="C23" s="22" t="s">
        <v>80</v>
      </c>
      <c r="D23" s="11" t="s">
        <v>81</v>
      </c>
      <c r="E23" s="11">
        <v>1</v>
      </c>
      <c r="F23" s="11">
        <v>1</v>
      </c>
    </row>
    <row r="24" spans="1:6" ht="21.95" customHeight="1" x14ac:dyDescent="0.15">
      <c r="A24" s="24" t="s">
        <v>82</v>
      </c>
      <c r="B24" s="475" t="s">
        <v>83</v>
      </c>
      <c r="C24" s="476" t="s">
        <v>83</v>
      </c>
      <c r="D24" s="11" t="s">
        <v>84</v>
      </c>
      <c r="E24" s="480">
        <v>2</v>
      </c>
      <c r="F24" s="480">
        <v>2</v>
      </c>
    </row>
    <row r="25" spans="1:6" ht="21.95" customHeight="1" x14ac:dyDescent="0.15">
      <c r="A25" s="24" t="s">
        <v>85</v>
      </c>
      <c r="B25" s="475"/>
      <c r="C25" s="476"/>
      <c r="D25" s="11" t="s">
        <v>86</v>
      </c>
      <c r="E25" s="481"/>
      <c r="F25" s="481"/>
    </row>
    <row r="26" spans="1:6" ht="21.95" customHeight="1" x14ac:dyDescent="0.15">
      <c r="A26" s="24" t="s">
        <v>87</v>
      </c>
      <c r="B26" s="475"/>
      <c r="C26" s="476" t="s">
        <v>88</v>
      </c>
      <c r="D26" s="11" t="s">
        <v>89</v>
      </c>
      <c r="E26" s="480">
        <v>2</v>
      </c>
      <c r="F26" s="480">
        <v>2</v>
      </c>
    </row>
    <row r="27" spans="1:6" ht="21.95" customHeight="1" x14ac:dyDescent="0.15">
      <c r="A27" s="24" t="s">
        <v>90</v>
      </c>
      <c r="B27" s="475"/>
      <c r="C27" s="476"/>
      <c r="D27" s="11" t="s">
        <v>91</v>
      </c>
      <c r="E27" s="481"/>
      <c r="F27" s="481"/>
    </row>
    <row r="28" spans="1:6" ht="21.95" customHeight="1" x14ac:dyDescent="0.15">
      <c r="A28" s="24" t="s">
        <v>92</v>
      </c>
      <c r="B28" s="475"/>
      <c r="C28" s="22" t="s">
        <v>93</v>
      </c>
      <c r="D28" s="11" t="s">
        <v>94</v>
      </c>
      <c r="E28" s="11">
        <v>2</v>
      </c>
      <c r="F28" s="11">
        <v>3</v>
      </c>
    </row>
    <row r="29" spans="1:6" ht="21.95" customHeight="1" x14ac:dyDescent="0.15">
      <c r="A29" s="24" t="s">
        <v>95</v>
      </c>
      <c r="B29" s="475" t="s">
        <v>96</v>
      </c>
      <c r="C29" s="476" t="s">
        <v>97</v>
      </c>
      <c r="D29" s="11" t="s">
        <v>98</v>
      </c>
      <c r="E29" s="480">
        <v>2</v>
      </c>
      <c r="F29" s="480">
        <v>2</v>
      </c>
    </row>
    <row r="30" spans="1:6" ht="21.95" customHeight="1" x14ac:dyDescent="0.15">
      <c r="A30" s="24" t="s">
        <v>99</v>
      </c>
      <c r="B30" s="475"/>
      <c r="C30" s="476"/>
      <c r="D30" s="11" t="s">
        <v>100</v>
      </c>
      <c r="E30" s="481"/>
      <c r="F30" s="481"/>
    </row>
    <row r="31" spans="1:6" ht="21.95" customHeight="1" x14ac:dyDescent="0.15">
      <c r="A31" s="24" t="s">
        <v>101</v>
      </c>
      <c r="B31" s="475"/>
      <c r="C31" s="476" t="s">
        <v>102</v>
      </c>
      <c r="D31" s="11" t="s">
        <v>103</v>
      </c>
      <c r="E31" s="480">
        <v>3</v>
      </c>
      <c r="F31" s="480">
        <v>3</v>
      </c>
    </row>
    <row r="32" spans="1:6" ht="21.95" customHeight="1" x14ac:dyDescent="0.15">
      <c r="A32" s="24" t="s">
        <v>104</v>
      </c>
      <c r="B32" s="475"/>
      <c r="C32" s="476"/>
      <c r="D32" s="11" t="s">
        <v>105</v>
      </c>
      <c r="E32" s="481"/>
      <c r="F32" s="481"/>
    </row>
    <row r="33" spans="1:6" ht="21.95" customHeight="1" x14ac:dyDescent="0.15">
      <c r="A33" s="24" t="s">
        <v>106</v>
      </c>
      <c r="B33" s="475"/>
      <c r="C33" s="476" t="s">
        <v>107</v>
      </c>
      <c r="D33" s="11" t="s">
        <v>108</v>
      </c>
      <c r="E33" s="480">
        <v>5</v>
      </c>
      <c r="F33" s="483">
        <v>3</v>
      </c>
    </row>
    <row r="34" spans="1:6" ht="21.95" customHeight="1" x14ac:dyDescent="0.15">
      <c r="A34" s="24" t="s">
        <v>109</v>
      </c>
      <c r="B34" s="475"/>
      <c r="C34" s="476"/>
      <c r="D34" s="11" t="s">
        <v>110</v>
      </c>
      <c r="E34" s="481"/>
      <c r="F34" s="484"/>
    </row>
    <row r="35" spans="1:6" ht="21.95" customHeight="1" x14ac:dyDescent="0.15">
      <c r="B35" s="25" t="s">
        <v>111</v>
      </c>
      <c r="C35" s="4" t="s">
        <v>112</v>
      </c>
      <c r="D35" s="26" t="s">
        <v>113</v>
      </c>
      <c r="E35" s="11">
        <f>SUM(E3:E34)</f>
        <v>31</v>
      </c>
      <c r="F35" s="11">
        <f>SUM(F3:F34)</f>
        <v>29</v>
      </c>
    </row>
    <row r="36" spans="1:6" ht="21.95" customHeight="1" x14ac:dyDescent="0.15">
      <c r="B36" s="25" t="s">
        <v>114</v>
      </c>
      <c r="C36" s="4" t="s">
        <v>115</v>
      </c>
      <c r="D36" s="42" t="s">
        <v>191</v>
      </c>
      <c r="E36" s="27"/>
      <c r="F36" s="43">
        <f>100/75*F35</f>
        <v>38.666666666666664</v>
      </c>
    </row>
    <row r="37" spans="1:6" x14ac:dyDescent="0.15">
      <c r="B37" s="25" t="s">
        <v>116</v>
      </c>
      <c r="C37" s="4" t="s">
        <v>117</v>
      </c>
      <c r="D37" s="42"/>
      <c r="E37" s="5"/>
    </row>
    <row r="38" spans="1:6" x14ac:dyDescent="0.15">
      <c r="B38" s="25" t="s">
        <v>118</v>
      </c>
      <c r="C38" s="4" t="s">
        <v>119</v>
      </c>
    </row>
    <row r="39" spans="1:6" x14ac:dyDescent="0.15">
      <c r="B39" s="25" t="s">
        <v>120</v>
      </c>
      <c r="C39" s="4" t="s">
        <v>121</v>
      </c>
    </row>
    <row r="40" spans="1:6" x14ac:dyDescent="0.15">
      <c r="B40" s="25" t="s">
        <v>122</v>
      </c>
      <c r="C40" s="4" t="s">
        <v>123</v>
      </c>
    </row>
  </sheetData>
  <mergeCells count="33">
    <mergeCell ref="F26:F27"/>
    <mergeCell ref="F29:F30"/>
    <mergeCell ref="F31:F32"/>
    <mergeCell ref="F33:F34"/>
    <mergeCell ref="F6:F7"/>
    <mergeCell ref="F9:F14"/>
    <mergeCell ref="F15:F17"/>
    <mergeCell ref="F18:F22"/>
    <mergeCell ref="F24:F25"/>
    <mergeCell ref="C33:C34"/>
    <mergeCell ref="E33:E34"/>
    <mergeCell ref="B24:B28"/>
    <mergeCell ref="C24:C25"/>
    <mergeCell ref="E24:E25"/>
    <mergeCell ref="C26:C27"/>
    <mergeCell ref="E26:E27"/>
    <mergeCell ref="B29:B34"/>
    <mergeCell ref="C29:C30"/>
    <mergeCell ref="E29:E30"/>
    <mergeCell ref="C31:C32"/>
    <mergeCell ref="E31:E32"/>
    <mergeCell ref="B15:B17"/>
    <mergeCell ref="C15:C17"/>
    <mergeCell ref="E15:E17"/>
    <mergeCell ref="B18:B23"/>
    <mergeCell ref="C18:C22"/>
    <mergeCell ref="E18:E22"/>
    <mergeCell ref="B3:B4"/>
    <mergeCell ref="B5:B14"/>
    <mergeCell ref="C6:C7"/>
    <mergeCell ref="E6:E7"/>
    <mergeCell ref="C9:C14"/>
    <mergeCell ref="E9:E14"/>
  </mergeCells>
  <phoneticPr fontId="16"/>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0"/>
  <sheetViews>
    <sheetView zoomScale="80" zoomScaleNormal="80" workbookViewId="0">
      <selection activeCell="B1" sqref="B1"/>
    </sheetView>
  </sheetViews>
  <sheetFormatPr defaultColWidth="8.625" defaultRowHeight="18.75" x14ac:dyDescent="0.15"/>
  <cols>
    <col min="1" max="1" width="7.125" style="4" customWidth="1"/>
    <col min="2" max="2" width="20.625" style="4" customWidth="1"/>
    <col min="3" max="3" width="25.625" style="4" customWidth="1"/>
    <col min="4" max="4" width="120.625" style="4" customWidth="1"/>
    <col min="5" max="5" width="9.5" style="4" bestFit="1" customWidth="1"/>
    <col min="6" max="16384" width="8.625" style="4"/>
  </cols>
  <sheetData>
    <row r="1" spans="1:6" ht="24.95" customHeight="1" x14ac:dyDescent="0.15">
      <c r="A1" s="17"/>
      <c r="B1" s="17" t="s">
        <v>178</v>
      </c>
      <c r="D1" s="19" t="s">
        <v>21</v>
      </c>
      <c r="E1" s="332" t="s">
        <v>252</v>
      </c>
      <c r="F1" s="333" t="s">
        <v>253</v>
      </c>
    </row>
    <row r="2" spans="1:6" ht="24.95" customHeight="1" x14ac:dyDescent="0.15">
      <c r="A2" s="20" t="s">
        <v>22</v>
      </c>
      <c r="B2" s="21" t="s">
        <v>23</v>
      </c>
      <c r="C2" s="22" t="s">
        <v>24</v>
      </c>
      <c r="D2" s="23" t="s">
        <v>25</v>
      </c>
      <c r="E2" s="20" t="s">
        <v>26</v>
      </c>
      <c r="F2" s="20" t="s">
        <v>26</v>
      </c>
    </row>
    <row r="3" spans="1:6" ht="21.95" customHeight="1" x14ac:dyDescent="0.15">
      <c r="A3" s="24" t="s">
        <v>27</v>
      </c>
      <c r="B3" s="475" t="s">
        <v>28</v>
      </c>
      <c r="C3" s="22" t="s">
        <v>29</v>
      </c>
      <c r="D3" s="11" t="s">
        <v>30</v>
      </c>
      <c r="E3" s="11">
        <v>3</v>
      </c>
      <c r="F3" s="11">
        <v>2</v>
      </c>
    </row>
    <row r="4" spans="1:6" ht="21.95" customHeight="1" x14ac:dyDescent="0.15">
      <c r="A4" s="24" t="s">
        <v>31</v>
      </c>
      <c r="B4" s="475"/>
      <c r="C4" s="22" t="s">
        <v>32</v>
      </c>
      <c r="D4" s="11" t="s">
        <v>33</v>
      </c>
      <c r="E4" s="11">
        <v>2</v>
      </c>
      <c r="F4" s="419">
        <v>1</v>
      </c>
    </row>
    <row r="5" spans="1:6" ht="21.95" customHeight="1" x14ac:dyDescent="0.15">
      <c r="A5" s="24" t="s">
        <v>34</v>
      </c>
      <c r="B5" s="475" t="s">
        <v>35</v>
      </c>
      <c r="C5" s="22" t="s">
        <v>36</v>
      </c>
      <c r="D5" s="11" t="s">
        <v>37</v>
      </c>
      <c r="E5" s="11">
        <v>3</v>
      </c>
      <c r="F5" s="419">
        <v>2</v>
      </c>
    </row>
    <row r="6" spans="1:6" ht="21.95" customHeight="1" x14ac:dyDescent="0.15">
      <c r="A6" s="24" t="s">
        <v>38</v>
      </c>
      <c r="B6" s="475"/>
      <c r="C6" s="476" t="s">
        <v>39</v>
      </c>
      <c r="D6" s="11" t="s">
        <v>40</v>
      </c>
      <c r="E6" s="480">
        <v>2</v>
      </c>
      <c r="F6" s="485">
        <v>2</v>
      </c>
    </row>
    <row r="7" spans="1:6" ht="21.95" customHeight="1" x14ac:dyDescent="0.15">
      <c r="A7" s="24" t="s">
        <v>41</v>
      </c>
      <c r="B7" s="475"/>
      <c r="C7" s="476"/>
      <c r="D7" s="11" t="s">
        <v>42</v>
      </c>
      <c r="E7" s="481"/>
      <c r="F7" s="486"/>
    </row>
    <row r="8" spans="1:6" ht="21.95" customHeight="1" x14ac:dyDescent="0.15">
      <c r="A8" s="24" t="s">
        <v>43</v>
      </c>
      <c r="B8" s="475"/>
      <c r="C8" s="22" t="s">
        <v>44</v>
      </c>
      <c r="D8" s="11" t="s">
        <v>45</v>
      </c>
      <c r="E8" s="11">
        <v>2</v>
      </c>
      <c r="F8" s="419">
        <v>1</v>
      </c>
    </row>
    <row r="9" spans="1:6" ht="21.95" customHeight="1" x14ac:dyDescent="0.15">
      <c r="A9" s="24" t="s">
        <v>46</v>
      </c>
      <c r="B9" s="475"/>
      <c r="C9" s="476" t="s">
        <v>47</v>
      </c>
      <c r="D9" s="11" t="s">
        <v>48</v>
      </c>
      <c r="E9" s="480">
        <v>3</v>
      </c>
      <c r="F9" s="485">
        <v>2</v>
      </c>
    </row>
    <row r="10" spans="1:6" ht="21.95" customHeight="1" x14ac:dyDescent="0.15">
      <c r="A10" s="24" t="s">
        <v>49</v>
      </c>
      <c r="B10" s="475"/>
      <c r="C10" s="476"/>
      <c r="D10" s="11" t="s">
        <v>50</v>
      </c>
      <c r="E10" s="482"/>
      <c r="F10" s="487"/>
    </row>
    <row r="11" spans="1:6" ht="21.95" customHeight="1" x14ac:dyDescent="0.15">
      <c r="A11" s="24" t="s">
        <v>51</v>
      </c>
      <c r="B11" s="475"/>
      <c r="C11" s="476"/>
      <c r="D11" s="11" t="s">
        <v>52</v>
      </c>
      <c r="E11" s="482"/>
      <c r="F11" s="487"/>
    </row>
    <row r="12" spans="1:6" ht="21.95" customHeight="1" x14ac:dyDescent="0.15">
      <c r="A12" s="24" t="s">
        <v>53</v>
      </c>
      <c r="B12" s="475"/>
      <c r="C12" s="476"/>
      <c r="D12" s="11" t="s">
        <v>54</v>
      </c>
      <c r="E12" s="482"/>
      <c r="F12" s="487"/>
    </row>
    <row r="13" spans="1:6" ht="21.95" customHeight="1" x14ac:dyDescent="0.15">
      <c r="A13" s="24" t="s">
        <v>55</v>
      </c>
      <c r="B13" s="475"/>
      <c r="C13" s="476"/>
      <c r="D13" s="11" t="s">
        <v>56</v>
      </c>
      <c r="E13" s="482"/>
      <c r="F13" s="487"/>
    </row>
    <row r="14" spans="1:6" ht="21.95" customHeight="1" x14ac:dyDescent="0.15">
      <c r="A14" s="24" t="s">
        <v>57</v>
      </c>
      <c r="B14" s="475"/>
      <c r="C14" s="476"/>
      <c r="D14" s="11" t="s">
        <v>58</v>
      </c>
      <c r="E14" s="481"/>
      <c r="F14" s="486"/>
    </row>
    <row r="15" spans="1:6" ht="21.95" customHeight="1" x14ac:dyDescent="0.15">
      <c r="A15" s="24" t="s">
        <v>59</v>
      </c>
      <c r="B15" s="475" t="s">
        <v>60</v>
      </c>
      <c r="C15" s="476" t="s">
        <v>61</v>
      </c>
      <c r="D15" s="11" t="s">
        <v>62</v>
      </c>
      <c r="E15" s="480">
        <v>3</v>
      </c>
      <c r="F15" s="480">
        <v>3</v>
      </c>
    </row>
    <row r="16" spans="1:6" ht="21.95" customHeight="1" x14ac:dyDescent="0.15">
      <c r="A16" s="24" t="s">
        <v>63</v>
      </c>
      <c r="B16" s="475"/>
      <c r="C16" s="476"/>
      <c r="D16" s="11" t="s">
        <v>64</v>
      </c>
      <c r="E16" s="482"/>
      <c r="F16" s="482"/>
    </row>
    <row r="17" spans="1:6" ht="21.95" customHeight="1" x14ac:dyDescent="0.15">
      <c r="A17" s="24" t="s">
        <v>65</v>
      </c>
      <c r="B17" s="475"/>
      <c r="C17" s="476"/>
      <c r="D17" s="11" t="s">
        <v>66</v>
      </c>
      <c r="E17" s="481"/>
      <c r="F17" s="481"/>
    </row>
    <row r="18" spans="1:6" ht="21.95" customHeight="1" x14ac:dyDescent="0.15">
      <c r="A18" s="24" t="s">
        <v>67</v>
      </c>
      <c r="B18" s="475" t="s">
        <v>68</v>
      </c>
      <c r="C18" s="476" t="s">
        <v>69</v>
      </c>
      <c r="D18" s="11" t="s">
        <v>70</v>
      </c>
      <c r="E18" s="480">
        <v>3</v>
      </c>
      <c r="F18" s="480">
        <v>3</v>
      </c>
    </row>
    <row r="19" spans="1:6" ht="21.95" customHeight="1" x14ac:dyDescent="0.15">
      <c r="A19" s="24" t="s">
        <v>71</v>
      </c>
      <c r="B19" s="475"/>
      <c r="C19" s="476"/>
      <c r="D19" s="11" t="s">
        <v>72</v>
      </c>
      <c r="E19" s="482"/>
      <c r="F19" s="482"/>
    </row>
    <row r="20" spans="1:6" ht="21.95" customHeight="1" x14ac:dyDescent="0.15">
      <c r="A20" s="24" t="s">
        <v>73</v>
      </c>
      <c r="B20" s="475"/>
      <c r="C20" s="476"/>
      <c r="D20" s="11" t="s">
        <v>74</v>
      </c>
      <c r="E20" s="482"/>
      <c r="F20" s="482"/>
    </row>
    <row r="21" spans="1:6" ht="21.95" customHeight="1" x14ac:dyDescent="0.15">
      <c r="A21" s="24" t="s">
        <v>75</v>
      </c>
      <c r="B21" s="475"/>
      <c r="C21" s="476"/>
      <c r="D21" s="11" t="s">
        <v>76</v>
      </c>
      <c r="E21" s="482"/>
      <c r="F21" s="482"/>
    </row>
    <row r="22" spans="1:6" ht="21.95" customHeight="1" x14ac:dyDescent="0.15">
      <c r="A22" s="24" t="s">
        <v>77</v>
      </c>
      <c r="B22" s="475"/>
      <c r="C22" s="476"/>
      <c r="D22" s="11" t="s">
        <v>78</v>
      </c>
      <c r="E22" s="481"/>
      <c r="F22" s="481"/>
    </row>
    <row r="23" spans="1:6" ht="21.95" customHeight="1" x14ac:dyDescent="0.15">
      <c r="A23" s="24" t="s">
        <v>79</v>
      </c>
      <c r="B23" s="475"/>
      <c r="C23" s="22" t="s">
        <v>80</v>
      </c>
      <c r="D23" s="11" t="s">
        <v>81</v>
      </c>
      <c r="E23" s="11">
        <v>2</v>
      </c>
      <c r="F23" s="11">
        <v>1</v>
      </c>
    </row>
    <row r="24" spans="1:6" ht="21.95" customHeight="1" x14ac:dyDescent="0.15">
      <c r="A24" s="24" t="s">
        <v>82</v>
      </c>
      <c r="B24" s="475" t="s">
        <v>83</v>
      </c>
      <c r="C24" s="476" t="s">
        <v>83</v>
      </c>
      <c r="D24" s="11" t="s">
        <v>84</v>
      </c>
      <c r="E24" s="480">
        <v>2</v>
      </c>
      <c r="F24" s="480">
        <v>2</v>
      </c>
    </row>
    <row r="25" spans="1:6" ht="21.95" customHeight="1" x14ac:dyDescent="0.15">
      <c r="A25" s="24" t="s">
        <v>85</v>
      </c>
      <c r="B25" s="475"/>
      <c r="C25" s="476"/>
      <c r="D25" s="11" t="s">
        <v>86</v>
      </c>
      <c r="E25" s="481"/>
      <c r="F25" s="481"/>
    </row>
    <row r="26" spans="1:6" ht="21.95" customHeight="1" x14ac:dyDescent="0.15">
      <c r="A26" s="24" t="s">
        <v>87</v>
      </c>
      <c r="B26" s="475"/>
      <c r="C26" s="476" t="s">
        <v>88</v>
      </c>
      <c r="D26" s="11" t="s">
        <v>89</v>
      </c>
      <c r="E26" s="480">
        <v>2</v>
      </c>
      <c r="F26" s="480">
        <v>2</v>
      </c>
    </row>
    <row r="27" spans="1:6" ht="21.95" customHeight="1" x14ac:dyDescent="0.15">
      <c r="A27" s="24" t="s">
        <v>90</v>
      </c>
      <c r="B27" s="475"/>
      <c r="C27" s="476"/>
      <c r="D27" s="11" t="s">
        <v>91</v>
      </c>
      <c r="E27" s="481"/>
      <c r="F27" s="481"/>
    </row>
    <row r="28" spans="1:6" ht="21.95" customHeight="1" x14ac:dyDescent="0.15">
      <c r="A28" s="24" t="s">
        <v>92</v>
      </c>
      <c r="B28" s="475"/>
      <c r="C28" s="22" t="s">
        <v>93</v>
      </c>
      <c r="D28" s="11" t="s">
        <v>94</v>
      </c>
      <c r="E28" s="11">
        <v>3</v>
      </c>
      <c r="F28" s="11">
        <v>3</v>
      </c>
    </row>
    <row r="29" spans="1:6" ht="21.95" customHeight="1" x14ac:dyDescent="0.15">
      <c r="A29" s="24" t="s">
        <v>95</v>
      </c>
      <c r="B29" s="475" t="s">
        <v>96</v>
      </c>
      <c r="C29" s="476" t="s">
        <v>97</v>
      </c>
      <c r="D29" s="11" t="s">
        <v>98</v>
      </c>
      <c r="E29" s="480">
        <v>2</v>
      </c>
      <c r="F29" s="480">
        <v>2</v>
      </c>
    </row>
    <row r="30" spans="1:6" ht="21.95" customHeight="1" x14ac:dyDescent="0.15">
      <c r="A30" s="24" t="s">
        <v>99</v>
      </c>
      <c r="B30" s="475"/>
      <c r="C30" s="476"/>
      <c r="D30" s="11" t="s">
        <v>100</v>
      </c>
      <c r="E30" s="481"/>
      <c r="F30" s="481"/>
    </row>
    <row r="31" spans="1:6" ht="21.95" customHeight="1" x14ac:dyDescent="0.15">
      <c r="A31" s="24" t="s">
        <v>101</v>
      </c>
      <c r="B31" s="475"/>
      <c r="C31" s="476" t="s">
        <v>102</v>
      </c>
      <c r="D31" s="11" t="s">
        <v>103</v>
      </c>
      <c r="E31" s="480">
        <v>3</v>
      </c>
      <c r="F31" s="480">
        <v>3</v>
      </c>
    </row>
    <row r="32" spans="1:6" ht="21.95" customHeight="1" x14ac:dyDescent="0.15">
      <c r="A32" s="24" t="s">
        <v>104</v>
      </c>
      <c r="B32" s="475"/>
      <c r="C32" s="476"/>
      <c r="D32" s="11" t="s">
        <v>105</v>
      </c>
      <c r="E32" s="481"/>
      <c r="F32" s="481"/>
    </row>
    <row r="33" spans="1:7" ht="21.95" customHeight="1" x14ac:dyDescent="0.15">
      <c r="A33" s="24" t="s">
        <v>106</v>
      </c>
      <c r="B33" s="475"/>
      <c r="C33" s="476" t="s">
        <v>107</v>
      </c>
      <c r="D33" s="11" t="s">
        <v>108</v>
      </c>
      <c r="E33" s="480">
        <v>3</v>
      </c>
      <c r="F33" s="483">
        <v>3</v>
      </c>
    </row>
    <row r="34" spans="1:7" ht="21.95" customHeight="1" x14ac:dyDescent="0.15">
      <c r="A34" s="24" t="s">
        <v>109</v>
      </c>
      <c r="B34" s="475"/>
      <c r="C34" s="476"/>
      <c r="D34" s="11" t="s">
        <v>110</v>
      </c>
      <c r="E34" s="481"/>
      <c r="F34" s="484"/>
    </row>
    <row r="35" spans="1:7" ht="21.95" customHeight="1" x14ac:dyDescent="0.15">
      <c r="B35" s="25" t="s">
        <v>111</v>
      </c>
      <c r="C35" s="4" t="s">
        <v>112</v>
      </c>
      <c r="D35" s="26" t="s">
        <v>192</v>
      </c>
      <c r="E35" s="11">
        <f>SUM(E3:E34)</f>
        <v>38</v>
      </c>
      <c r="F35" s="11">
        <f>SUM(F3:F34)</f>
        <v>32</v>
      </c>
    </row>
    <row r="36" spans="1:7" ht="21.95" customHeight="1" x14ac:dyDescent="0.15">
      <c r="B36" s="25" t="s">
        <v>114</v>
      </c>
      <c r="C36" s="4" t="s">
        <v>115</v>
      </c>
      <c r="D36" s="42" t="s">
        <v>191</v>
      </c>
      <c r="E36" s="27"/>
      <c r="F36" s="27">
        <f>100/75*F35</f>
        <v>42.666666666666664</v>
      </c>
    </row>
    <row r="37" spans="1:7" x14ac:dyDescent="0.15">
      <c r="B37" s="25" t="s">
        <v>116</v>
      </c>
      <c r="C37" s="4" t="s">
        <v>117</v>
      </c>
      <c r="D37" s="42"/>
      <c r="G37" s="5"/>
    </row>
    <row r="38" spans="1:7" x14ac:dyDescent="0.15">
      <c r="B38" s="25" t="s">
        <v>118</v>
      </c>
      <c r="C38" s="4" t="s">
        <v>119</v>
      </c>
    </row>
    <row r="39" spans="1:7" x14ac:dyDescent="0.15">
      <c r="B39" s="25" t="s">
        <v>120</v>
      </c>
      <c r="C39" s="4" t="s">
        <v>121</v>
      </c>
    </row>
    <row r="40" spans="1:7" x14ac:dyDescent="0.15">
      <c r="B40" s="25" t="s">
        <v>122</v>
      </c>
      <c r="C40" s="4" t="s">
        <v>123</v>
      </c>
    </row>
  </sheetData>
  <mergeCells count="33">
    <mergeCell ref="F26:F27"/>
    <mergeCell ref="F29:F30"/>
    <mergeCell ref="F31:F32"/>
    <mergeCell ref="F33:F34"/>
    <mergeCell ref="F6:F7"/>
    <mergeCell ref="F9:F14"/>
    <mergeCell ref="F15:F17"/>
    <mergeCell ref="F18:F22"/>
    <mergeCell ref="F24:F25"/>
    <mergeCell ref="C33:C34"/>
    <mergeCell ref="E33:E34"/>
    <mergeCell ref="B24:B28"/>
    <mergeCell ref="C24:C25"/>
    <mergeCell ref="E24:E25"/>
    <mergeCell ref="C26:C27"/>
    <mergeCell ref="E26:E27"/>
    <mergeCell ref="B29:B34"/>
    <mergeCell ref="C29:C30"/>
    <mergeCell ref="E29:E30"/>
    <mergeCell ref="C31:C32"/>
    <mergeCell ref="E31:E32"/>
    <mergeCell ref="B15:B17"/>
    <mergeCell ref="C15:C17"/>
    <mergeCell ref="E15:E17"/>
    <mergeCell ref="B18:B23"/>
    <mergeCell ref="C18:C22"/>
    <mergeCell ref="E18:E22"/>
    <mergeCell ref="B3:B4"/>
    <mergeCell ref="B5:B14"/>
    <mergeCell ref="C6:C7"/>
    <mergeCell ref="E6:E7"/>
    <mergeCell ref="C9:C14"/>
    <mergeCell ref="E9:E14"/>
  </mergeCells>
  <phoneticPr fontId="16"/>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0"/>
  <sheetViews>
    <sheetView zoomScale="85" zoomScaleNormal="85" workbookViewId="0">
      <selection activeCell="E36" sqref="E36"/>
    </sheetView>
  </sheetViews>
  <sheetFormatPr defaultColWidth="9.625" defaultRowHeight="18.75" x14ac:dyDescent="0.15"/>
  <cols>
    <col min="1" max="1" width="6.125" style="4" customWidth="1"/>
    <col min="2" max="2" width="23.125" style="4" customWidth="1"/>
    <col min="3" max="3" width="28.625" style="4" customWidth="1"/>
    <col min="4" max="4" width="115.125" style="4" bestFit="1" customWidth="1"/>
    <col min="5" max="16384" width="9.625" style="4"/>
  </cols>
  <sheetData>
    <row r="1" spans="1:5" ht="24.95" customHeight="1" x14ac:dyDescent="0.15">
      <c r="A1" s="17"/>
      <c r="B1" s="17" t="s">
        <v>178</v>
      </c>
      <c r="D1" s="19" t="s">
        <v>21</v>
      </c>
      <c r="E1" s="333"/>
    </row>
    <row r="2" spans="1:5" ht="24.95" customHeight="1" x14ac:dyDescent="0.15">
      <c r="A2" s="20" t="s">
        <v>22</v>
      </c>
      <c r="B2" s="21" t="s">
        <v>23</v>
      </c>
      <c r="C2" s="22" t="s">
        <v>24</v>
      </c>
      <c r="D2" s="23" t="s">
        <v>25</v>
      </c>
      <c r="E2" s="20" t="s">
        <v>26</v>
      </c>
    </row>
    <row r="3" spans="1:5" ht="21.95" customHeight="1" x14ac:dyDescent="0.15">
      <c r="A3" s="24" t="s">
        <v>27</v>
      </c>
      <c r="B3" s="475" t="s">
        <v>28</v>
      </c>
      <c r="C3" s="22" t="s">
        <v>29</v>
      </c>
      <c r="D3" s="11" t="s">
        <v>30</v>
      </c>
      <c r="E3" s="11">
        <v>2</v>
      </c>
    </row>
    <row r="4" spans="1:5" ht="21.95" customHeight="1" x14ac:dyDescent="0.15">
      <c r="A4" s="24" t="s">
        <v>31</v>
      </c>
      <c r="B4" s="475"/>
      <c r="C4" s="22" t="s">
        <v>32</v>
      </c>
      <c r="D4" s="11" t="s">
        <v>33</v>
      </c>
      <c r="E4" s="11">
        <v>2</v>
      </c>
    </row>
    <row r="5" spans="1:5" ht="21.95" customHeight="1" x14ac:dyDescent="0.15">
      <c r="A5" s="24" t="s">
        <v>34</v>
      </c>
      <c r="B5" s="475" t="s">
        <v>35</v>
      </c>
      <c r="C5" s="22" t="s">
        <v>36</v>
      </c>
      <c r="D5" s="11" t="s">
        <v>37</v>
      </c>
      <c r="E5" s="11">
        <v>2</v>
      </c>
    </row>
    <row r="6" spans="1:5" ht="21.95" customHeight="1" x14ac:dyDescent="0.15">
      <c r="A6" s="24" t="s">
        <v>38</v>
      </c>
      <c r="B6" s="475"/>
      <c r="C6" s="476" t="s">
        <v>39</v>
      </c>
      <c r="D6" s="11" t="s">
        <v>40</v>
      </c>
      <c r="E6" s="480">
        <v>2</v>
      </c>
    </row>
    <row r="7" spans="1:5" ht="21.95" customHeight="1" x14ac:dyDescent="0.15">
      <c r="A7" s="24" t="s">
        <v>41</v>
      </c>
      <c r="B7" s="475"/>
      <c r="C7" s="476"/>
      <c r="D7" s="11" t="s">
        <v>42</v>
      </c>
      <c r="E7" s="481"/>
    </row>
    <row r="8" spans="1:5" ht="21.95" customHeight="1" x14ac:dyDescent="0.15">
      <c r="A8" s="24" t="s">
        <v>43</v>
      </c>
      <c r="B8" s="475"/>
      <c r="C8" s="22" t="s">
        <v>44</v>
      </c>
      <c r="D8" s="11" t="s">
        <v>45</v>
      </c>
      <c r="E8" s="11">
        <v>1</v>
      </c>
    </row>
    <row r="9" spans="1:5" ht="21.95" customHeight="1" x14ac:dyDescent="0.15">
      <c r="A9" s="24" t="s">
        <v>46</v>
      </c>
      <c r="B9" s="475"/>
      <c r="C9" s="476" t="s">
        <v>47</v>
      </c>
      <c r="D9" s="11" t="s">
        <v>48</v>
      </c>
      <c r="E9" s="480">
        <v>2</v>
      </c>
    </row>
    <row r="10" spans="1:5" ht="21.95" customHeight="1" x14ac:dyDescent="0.15">
      <c r="A10" s="24" t="s">
        <v>49</v>
      </c>
      <c r="B10" s="475"/>
      <c r="C10" s="476"/>
      <c r="D10" s="11" t="s">
        <v>50</v>
      </c>
      <c r="E10" s="482"/>
    </row>
    <row r="11" spans="1:5" ht="21.95" customHeight="1" x14ac:dyDescent="0.15">
      <c r="A11" s="24" t="s">
        <v>51</v>
      </c>
      <c r="B11" s="475"/>
      <c r="C11" s="476"/>
      <c r="D11" s="11" t="s">
        <v>52</v>
      </c>
      <c r="E11" s="482"/>
    </row>
    <row r="12" spans="1:5" ht="21.95" customHeight="1" x14ac:dyDescent="0.15">
      <c r="A12" s="24" t="s">
        <v>53</v>
      </c>
      <c r="B12" s="475"/>
      <c r="C12" s="476"/>
      <c r="D12" s="11" t="s">
        <v>54</v>
      </c>
      <c r="E12" s="482"/>
    </row>
    <row r="13" spans="1:5" ht="21.95" customHeight="1" x14ac:dyDescent="0.15">
      <c r="A13" s="24" t="s">
        <v>55</v>
      </c>
      <c r="B13" s="475"/>
      <c r="C13" s="476"/>
      <c r="D13" s="11" t="s">
        <v>56</v>
      </c>
      <c r="E13" s="482"/>
    </row>
    <row r="14" spans="1:5" ht="21.95" customHeight="1" x14ac:dyDescent="0.15">
      <c r="A14" s="24" t="s">
        <v>57</v>
      </c>
      <c r="B14" s="475"/>
      <c r="C14" s="476"/>
      <c r="D14" s="11" t="s">
        <v>58</v>
      </c>
      <c r="E14" s="481"/>
    </row>
    <row r="15" spans="1:5" ht="21.95" customHeight="1" x14ac:dyDescent="0.15">
      <c r="A15" s="24" t="s">
        <v>59</v>
      </c>
      <c r="B15" s="475" t="s">
        <v>60</v>
      </c>
      <c r="C15" s="476" t="s">
        <v>61</v>
      </c>
      <c r="D15" s="11" t="s">
        <v>62</v>
      </c>
      <c r="E15" s="480">
        <v>2</v>
      </c>
    </row>
    <row r="16" spans="1:5" ht="21.95" customHeight="1" x14ac:dyDescent="0.15">
      <c r="A16" s="24" t="s">
        <v>63</v>
      </c>
      <c r="B16" s="475"/>
      <c r="C16" s="476"/>
      <c r="D16" s="11" t="s">
        <v>64</v>
      </c>
      <c r="E16" s="482"/>
    </row>
    <row r="17" spans="1:5" ht="21.95" customHeight="1" x14ac:dyDescent="0.15">
      <c r="A17" s="24" t="s">
        <v>65</v>
      </c>
      <c r="B17" s="475"/>
      <c r="C17" s="476"/>
      <c r="D17" s="11" t="s">
        <v>66</v>
      </c>
      <c r="E17" s="481"/>
    </row>
    <row r="18" spans="1:5" ht="21.95" customHeight="1" x14ac:dyDescent="0.15">
      <c r="A18" s="24" t="s">
        <v>67</v>
      </c>
      <c r="B18" s="475" t="s">
        <v>68</v>
      </c>
      <c r="C18" s="476" t="s">
        <v>69</v>
      </c>
      <c r="D18" s="11" t="s">
        <v>70</v>
      </c>
      <c r="E18" s="480">
        <v>2</v>
      </c>
    </row>
    <row r="19" spans="1:5" ht="21.95" customHeight="1" x14ac:dyDescent="0.15">
      <c r="A19" s="24" t="s">
        <v>71</v>
      </c>
      <c r="B19" s="475"/>
      <c r="C19" s="476"/>
      <c r="D19" s="11" t="s">
        <v>72</v>
      </c>
      <c r="E19" s="482"/>
    </row>
    <row r="20" spans="1:5" ht="21.95" customHeight="1" x14ac:dyDescent="0.15">
      <c r="A20" s="24" t="s">
        <v>73</v>
      </c>
      <c r="B20" s="475"/>
      <c r="C20" s="476"/>
      <c r="D20" s="11" t="s">
        <v>74</v>
      </c>
      <c r="E20" s="482"/>
    </row>
    <row r="21" spans="1:5" ht="21.95" customHeight="1" x14ac:dyDescent="0.15">
      <c r="A21" s="24" t="s">
        <v>75</v>
      </c>
      <c r="B21" s="475"/>
      <c r="C21" s="476"/>
      <c r="D21" s="11" t="s">
        <v>76</v>
      </c>
      <c r="E21" s="482"/>
    </row>
    <row r="22" spans="1:5" ht="21.95" customHeight="1" x14ac:dyDescent="0.15">
      <c r="A22" s="24" t="s">
        <v>77</v>
      </c>
      <c r="B22" s="475"/>
      <c r="C22" s="476"/>
      <c r="D22" s="11" t="s">
        <v>78</v>
      </c>
      <c r="E22" s="481"/>
    </row>
    <row r="23" spans="1:5" ht="21.95" customHeight="1" x14ac:dyDescent="0.15">
      <c r="A23" s="24" t="s">
        <v>79</v>
      </c>
      <c r="B23" s="475"/>
      <c r="C23" s="22" t="s">
        <v>80</v>
      </c>
      <c r="D23" s="11" t="s">
        <v>81</v>
      </c>
      <c r="E23" s="11">
        <v>3</v>
      </c>
    </row>
    <row r="24" spans="1:5" ht="21.95" customHeight="1" x14ac:dyDescent="0.15">
      <c r="A24" s="24" t="s">
        <v>82</v>
      </c>
      <c r="B24" s="475" t="s">
        <v>83</v>
      </c>
      <c r="C24" s="476" t="s">
        <v>83</v>
      </c>
      <c r="D24" s="11" t="s">
        <v>84</v>
      </c>
      <c r="E24" s="480">
        <v>2</v>
      </c>
    </row>
    <row r="25" spans="1:5" ht="21.95" customHeight="1" x14ac:dyDescent="0.15">
      <c r="A25" s="24" t="s">
        <v>85</v>
      </c>
      <c r="B25" s="475"/>
      <c r="C25" s="476"/>
      <c r="D25" s="11" t="s">
        <v>86</v>
      </c>
      <c r="E25" s="481"/>
    </row>
    <row r="26" spans="1:5" ht="21.95" customHeight="1" x14ac:dyDescent="0.15">
      <c r="A26" s="24" t="s">
        <v>87</v>
      </c>
      <c r="B26" s="475"/>
      <c r="C26" s="476" t="s">
        <v>88</v>
      </c>
      <c r="D26" s="11" t="s">
        <v>89</v>
      </c>
      <c r="E26" s="480">
        <v>3</v>
      </c>
    </row>
    <row r="27" spans="1:5" ht="21.95" customHeight="1" x14ac:dyDescent="0.15">
      <c r="A27" s="24" t="s">
        <v>90</v>
      </c>
      <c r="B27" s="475"/>
      <c r="C27" s="476"/>
      <c r="D27" s="11" t="s">
        <v>91</v>
      </c>
      <c r="E27" s="481"/>
    </row>
    <row r="28" spans="1:5" ht="21.95" customHeight="1" x14ac:dyDescent="0.15">
      <c r="A28" s="24" t="s">
        <v>92</v>
      </c>
      <c r="B28" s="475"/>
      <c r="C28" s="22" t="s">
        <v>93</v>
      </c>
      <c r="D28" s="11" t="s">
        <v>94</v>
      </c>
      <c r="E28" s="11">
        <v>3</v>
      </c>
    </row>
    <row r="29" spans="1:5" ht="21.95" customHeight="1" x14ac:dyDescent="0.15">
      <c r="A29" s="24" t="s">
        <v>95</v>
      </c>
      <c r="B29" s="475" t="s">
        <v>96</v>
      </c>
      <c r="C29" s="476" t="s">
        <v>97</v>
      </c>
      <c r="D29" s="11" t="s">
        <v>98</v>
      </c>
      <c r="E29" s="480">
        <v>2</v>
      </c>
    </row>
    <row r="30" spans="1:5" ht="21.95" customHeight="1" x14ac:dyDescent="0.15">
      <c r="A30" s="24" t="s">
        <v>99</v>
      </c>
      <c r="B30" s="475"/>
      <c r="C30" s="476"/>
      <c r="D30" s="11" t="s">
        <v>100</v>
      </c>
      <c r="E30" s="481"/>
    </row>
    <row r="31" spans="1:5" ht="21.95" customHeight="1" x14ac:dyDescent="0.15">
      <c r="A31" s="24" t="s">
        <v>101</v>
      </c>
      <c r="B31" s="475"/>
      <c r="C31" s="476" t="s">
        <v>102</v>
      </c>
      <c r="D31" s="11" t="s">
        <v>103</v>
      </c>
      <c r="E31" s="480">
        <v>2</v>
      </c>
    </row>
    <row r="32" spans="1:5" ht="21.95" customHeight="1" x14ac:dyDescent="0.15">
      <c r="A32" s="24" t="s">
        <v>104</v>
      </c>
      <c r="B32" s="475"/>
      <c r="C32" s="476"/>
      <c r="D32" s="11" t="s">
        <v>105</v>
      </c>
      <c r="E32" s="481"/>
    </row>
    <row r="33" spans="1:5" ht="21.95" customHeight="1" x14ac:dyDescent="0.15">
      <c r="A33" s="24" t="s">
        <v>106</v>
      </c>
      <c r="B33" s="475"/>
      <c r="C33" s="476" t="s">
        <v>107</v>
      </c>
      <c r="D33" s="11" t="s">
        <v>108</v>
      </c>
      <c r="E33" s="480">
        <v>3</v>
      </c>
    </row>
    <row r="34" spans="1:5" ht="21.95" customHeight="1" x14ac:dyDescent="0.15">
      <c r="A34" s="24" t="s">
        <v>109</v>
      </c>
      <c r="B34" s="475"/>
      <c r="C34" s="476"/>
      <c r="D34" s="11" t="s">
        <v>110</v>
      </c>
      <c r="E34" s="481"/>
    </row>
    <row r="35" spans="1:5" ht="21.95" customHeight="1" x14ac:dyDescent="0.15">
      <c r="B35" s="25" t="s">
        <v>111</v>
      </c>
      <c r="C35" s="4" t="s">
        <v>112</v>
      </c>
      <c r="D35" s="26" t="s">
        <v>113</v>
      </c>
      <c r="E35" s="12">
        <f>SUM(E3:E34)</f>
        <v>33</v>
      </c>
    </row>
    <row r="36" spans="1:5" ht="21.95" customHeight="1" x14ac:dyDescent="0.15">
      <c r="B36" s="25" t="s">
        <v>114</v>
      </c>
      <c r="C36" s="4" t="s">
        <v>115</v>
      </c>
      <c r="D36" s="42" t="s">
        <v>191</v>
      </c>
      <c r="E36" s="45">
        <f>100/75*E35</f>
        <v>44</v>
      </c>
    </row>
    <row r="37" spans="1:5" x14ac:dyDescent="0.15">
      <c r="B37" s="25" t="s">
        <v>116</v>
      </c>
      <c r="C37" s="4" t="s">
        <v>117</v>
      </c>
      <c r="D37" s="42"/>
      <c r="E37" s="44"/>
    </row>
    <row r="38" spans="1:5" x14ac:dyDescent="0.15">
      <c r="B38" s="25" t="s">
        <v>118</v>
      </c>
      <c r="C38" s="4" t="s">
        <v>119</v>
      </c>
    </row>
    <row r="39" spans="1:5" x14ac:dyDescent="0.15">
      <c r="B39" s="25" t="s">
        <v>120</v>
      </c>
      <c r="C39" s="4" t="s">
        <v>121</v>
      </c>
    </row>
    <row r="40" spans="1:5" x14ac:dyDescent="0.15">
      <c r="B40" s="25" t="s">
        <v>122</v>
      </c>
      <c r="C40" s="4" t="s">
        <v>123</v>
      </c>
    </row>
  </sheetData>
  <mergeCells count="24">
    <mergeCell ref="E31:E32"/>
    <mergeCell ref="E33:E34"/>
    <mergeCell ref="E26:E27"/>
    <mergeCell ref="E29:E30"/>
    <mergeCell ref="C26:C27"/>
    <mergeCell ref="C29:C30"/>
    <mergeCell ref="C31:C32"/>
    <mergeCell ref="C33:C34"/>
    <mergeCell ref="E15:E17"/>
    <mergeCell ref="E18:E22"/>
    <mergeCell ref="E24:E25"/>
    <mergeCell ref="E6:E7"/>
    <mergeCell ref="E9:E14"/>
    <mergeCell ref="B29:B34"/>
    <mergeCell ref="B3:B4"/>
    <mergeCell ref="B5:B14"/>
    <mergeCell ref="B15:B17"/>
    <mergeCell ref="B18:B23"/>
    <mergeCell ref="B24:B28"/>
    <mergeCell ref="C6:C7"/>
    <mergeCell ref="C9:C14"/>
    <mergeCell ref="C15:C17"/>
    <mergeCell ref="C18:C22"/>
    <mergeCell ref="C24:C25"/>
  </mergeCells>
  <phoneticPr fontId="16"/>
  <pageMargins left="0.7" right="0.7" top="0.75" bottom="0.75" header="0.3" footer="0.3"/>
  <pageSetup paperSize="9" scale="5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0"/>
  <sheetViews>
    <sheetView zoomScale="78" zoomScaleNormal="78" workbookViewId="0">
      <selection activeCell="E1" sqref="E1:J1"/>
    </sheetView>
  </sheetViews>
  <sheetFormatPr defaultColWidth="8.625" defaultRowHeight="18.75" x14ac:dyDescent="0.15"/>
  <cols>
    <col min="1" max="1" width="7.125" style="4" customWidth="1"/>
    <col min="2" max="2" width="20.625" style="4" customWidth="1"/>
    <col min="3" max="3" width="25.625" style="4" customWidth="1"/>
    <col min="4" max="4" width="120.625" style="4" customWidth="1"/>
    <col min="5" max="9" width="12.875" style="4" bestFit="1" customWidth="1"/>
    <col min="10" max="10" width="12.875" style="4" customWidth="1"/>
    <col min="11" max="16384" width="8.625" style="4"/>
  </cols>
  <sheetData>
    <row r="1" spans="1:10" ht="24.95" customHeight="1" x14ac:dyDescent="0.15">
      <c r="A1" s="17"/>
      <c r="B1" s="17" t="s">
        <v>178</v>
      </c>
      <c r="D1" s="19" t="s">
        <v>21</v>
      </c>
      <c r="E1" s="500"/>
      <c r="F1" s="500"/>
      <c r="G1" s="500"/>
      <c r="H1" s="500"/>
      <c r="I1" s="500"/>
      <c r="J1" s="500"/>
    </row>
    <row r="2" spans="1:10" ht="24.95" customHeight="1" x14ac:dyDescent="0.15">
      <c r="A2" s="20" t="s">
        <v>22</v>
      </c>
      <c r="B2" s="21" t="s">
        <v>23</v>
      </c>
      <c r="C2" s="22" t="s">
        <v>24</v>
      </c>
      <c r="D2" s="23" t="s">
        <v>25</v>
      </c>
      <c r="E2" s="20" t="s">
        <v>26</v>
      </c>
      <c r="F2" s="365" t="s">
        <v>278</v>
      </c>
      <c r="G2" s="20" t="s">
        <v>26</v>
      </c>
      <c r="H2" s="365" t="s">
        <v>278</v>
      </c>
      <c r="I2" s="20" t="s">
        <v>277</v>
      </c>
      <c r="J2" s="365" t="s">
        <v>278</v>
      </c>
    </row>
    <row r="3" spans="1:10" ht="21.95" customHeight="1" x14ac:dyDescent="0.15">
      <c r="A3" s="24" t="s">
        <v>27</v>
      </c>
      <c r="B3" s="475" t="s">
        <v>28</v>
      </c>
      <c r="C3" s="22" t="s">
        <v>29</v>
      </c>
      <c r="D3" s="11" t="s">
        <v>30</v>
      </c>
      <c r="E3" s="11">
        <v>2</v>
      </c>
      <c r="F3" s="11">
        <v>1</v>
      </c>
      <c r="G3" s="11">
        <v>2</v>
      </c>
      <c r="H3" s="11">
        <v>1</v>
      </c>
      <c r="I3" s="11">
        <v>2</v>
      </c>
      <c r="J3" s="11">
        <v>1</v>
      </c>
    </row>
    <row r="4" spans="1:10" ht="21.95" customHeight="1" x14ac:dyDescent="0.15">
      <c r="A4" s="24" t="s">
        <v>31</v>
      </c>
      <c r="B4" s="475"/>
      <c r="C4" s="22" t="s">
        <v>32</v>
      </c>
      <c r="D4" s="11" t="s">
        <v>33</v>
      </c>
      <c r="E4" s="11">
        <v>2</v>
      </c>
      <c r="F4" s="11">
        <v>1</v>
      </c>
      <c r="G4" s="11">
        <v>2</v>
      </c>
      <c r="H4" s="11">
        <v>1</v>
      </c>
      <c r="I4" s="11">
        <v>2</v>
      </c>
      <c r="J4" s="11">
        <v>1</v>
      </c>
    </row>
    <row r="5" spans="1:10" ht="21.95" customHeight="1" x14ac:dyDescent="0.15">
      <c r="A5" s="24" t="s">
        <v>34</v>
      </c>
      <c r="B5" s="475" t="s">
        <v>35</v>
      </c>
      <c r="C5" s="22" t="s">
        <v>36</v>
      </c>
      <c r="D5" s="11" t="s">
        <v>37</v>
      </c>
      <c r="E5" s="11">
        <v>2</v>
      </c>
      <c r="F5" s="419">
        <v>2</v>
      </c>
      <c r="G5" s="419">
        <v>2</v>
      </c>
      <c r="H5" s="419">
        <v>2</v>
      </c>
      <c r="I5" s="419">
        <v>2</v>
      </c>
      <c r="J5" s="419">
        <v>2</v>
      </c>
    </row>
    <row r="6" spans="1:10" ht="21.95" customHeight="1" x14ac:dyDescent="0.15">
      <c r="A6" s="24" t="s">
        <v>38</v>
      </c>
      <c r="B6" s="475"/>
      <c r="C6" s="476" t="s">
        <v>39</v>
      </c>
      <c r="D6" s="11" t="s">
        <v>40</v>
      </c>
      <c r="E6" s="480">
        <v>3</v>
      </c>
      <c r="F6" s="485">
        <v>2</v>
      </c>
      <c r="G6" s="485">
        <v>3</v>
      </c>
      <c r="H6" s="485">
        <v>2</v>
      </c>
      <c r="I6" s="485">
        <v>3</v>
      </c>
      <c r="J6" s="485">
        <v>3</v>
      </c>
    </row>
    <row r="7" spans="1:10" ht="21.95" customHeight="1" x14ac:dyDescent="0.15">
      <c r="A7" s="24" t="s">
        <v>41</v>
      </c>
      <c r="B7" s="475"/>
      <c r="C7" s="476"/>
      <c r="D7" s="11" t="s">
        <v>42</v>
      </c>
      <c r="E7" s="481"/>
      <c r="F7" s="486"/>
      <c r="G7" s="486"/>
      <c r="H7" s="486"/>
      <c r="I7" s="486"/>
      <c r="J7" s="486"/>
    </row>
    <row r="8" spans="1:10" ht="21.95" customHeight="1" x14ac:dyDescent="0.15">
      <c r="A8" s="24" t="s">
        <v>43</v>
      </c>
      <c r="B8" s="475"/>
      <c r="C8" s="22" t="s">
        <v>44</v>
      </c>
      <c r="D8" s="11" t="s">
        <v>45</v>
      </c>
      <c r="E8" s="11">
        <v>2</v>
      </c>
      <c r="F8" s="419">
        <v>1</v>
      </c>
      <c r="G8" s="419">
        <v>2</v>
      </c>
      <c r="H8" s="419">
        <v>1</v>
      </c>
      <c r="I8" s="419">
        <v>2</v>
      </c>
      <c r="J8" s="419">
        <v>2</v>
      </c>
    </row>
    <row r="9" spans="1:10" ht="21.95" customHeight="1" x14ac:dyDescent="0.15">
      <c r="A9" s="24" t="s">
        <v>46</v>
      </c>
      <c r="B9" s="475"/>
      <c r="C9" s="476" t="s">
        <v>47</v>
      </c>
      <c r="D9" s="11" t="s">
        <v>48</v>
      </c>
      <c r="E9" s="480">
        <v>3</v>
      </c>
      <c r="F9" s="485">
        <v>2</v>
      </c>
      <c r="G9" s="485">
        <v>2</v>
      </c>
      <c r="H9" s="485">
        <v>1</v>
      </c>
      <c r="I9" s="485">
        <v>2</v>
      </c>
      <c r="J9" s="485">
        <v>2</v>
      </c>
    </row>
    <row r="10" spans="1:10" ht="21.95" customHeight="1" x14ac:dyDescent="0.15">
      <c r="A10" s="24" t="s">
        <v>49</v>
      </c>
      <c r="B10" s="475"/>
      <c r="C10" s="476"/>
      <c r="D10" s="11" t="s">
        <v>50</v>
      </c>
      <c r="E10" s="482"/>
      <c r="F10" s="487"/>
      <c r="G10" s="487"/>
      <c r="H10" s="487"/>
      <c r="I10" s="487"/>
      <c r="J10" s="487"/>
    </row>
    <row r="11" spans="1:10" ht="21.95" customHeight="1" x14ac:dyDescent="0.15">
      <c r="A11" s="24" t="s">
        <v>51</v>
      </c>
      <c r="B11" s="475"/>
      <c r="C11" s="476"/>
      <c r="D11" s="11" t="s">
        <v>52</v>
      </c>
      <c r="E11" s="482"/>
      <c r="F11" s="487"/>
      <c r="G11" s="487"/>
      <c r="H11" s="487"/>
      <c r="I11" s="487"/>
      <c r="J11" s="487"/>
    </row>
    <row r="12" spans="1:10" ht="21.95" customHeight="1" x14ac:dyDescent="0.15">
      <c r="A12" s="24" t="s">
        <v>53</v>
      </c>
      <c r="B12" s="475"/>
      <c r="C12" s="476"/>
      <c r="D12" s="11" t="s">
        <v>54</v>
      </c>
      <c r="E12" s="482"/>
      <c r="F12" s="487"/>
      <c r="G12" s="487"/>
      <c r="H12" s="487"/>
      <c r="I12" s="487"/>
      <c r="J12" s="487"/>
    </row>
    <row r="13" spans="1:10" ht="21.95" customHeight="1" x14ac:dyDescent="0.15">
      <c r="A13" s="24" t="s">
        <v>55</v>
      </c>
      <c r="B13" s="475"/>
      <c r="C13" s="476"/>
      <c r="D13" s="11" t="s">
        <v>56</v>
      </c>
      <c r="E13" s="482"/>
      <c r="F13" s="487"/>
      <c r="G13" s="487"/>
      <c r="H13" s="487"/>
      <c r="I13" s="487"/>
      <c r="J13" s="487"/>
    </row>
    <row r="14" spans="1:10" ht="21.95" customHeight="1" x14ac:dyDescent="0.15">
      <c r="A14" s="24" t="s">
        <v>57</v>
      </c>
      <c r="B14" s="475"/>
      <c r="C14" s="476"/>
      <c r="D14" s="11" t="s">
        <v>58</v>
      </c>
      <c r="E14" s="481"/>
      <c r="F14" s="486"/>
      <c r="G14" s="486"/>
      <c r="H14" s="486"/>
      <c r="I14" s="486"/>
      <c r="J14" s="486"/>
    </row>
    <row r="15" spans="1:10" ht="21.95" customHeight="1" x14ac:dyDescent="0.15">
      <c r="A15" s="24" t="s">
        <v>59</v>
      </c>
      <c r="B15" s="475" t="s">
        <v>60</v>
      </c>
      <c r="C15" s="476" t="s">
        <v>61</v>
      </c>
      <c r="D15" s="11" t="s">
        <v>62</v>
      </c>
      <c r="E15" s="480">
        <v>2</v>
      </c>
      <c r="F15" s="485">
        <v>2</v>
      </c>
      <c r="G15" s="485">
        <v>2</v>
      </c>
      <c r="H15" s="485">
        <v>2</v>
      </c>
      <c r="I15" s="485">
        <v>2</v>
      </c>
      <c r="J15" s="485">
        <v>2</v>
      </c>
    </row>
    <row r="16" spans="1:10" ht="21.95" customHeight="1" x14ac:dyDescent="0.15">
      <c r="A16" s="24" t="s">
        <v>63</v>
      </c>
      <c r="B16" s="475"/>
      <c r="C16" s="476"/>
      <c r="D16" s="11" t="s">
        <v>64</v>
      </c>
      <c r="E16" s="482"/>
      <c r="F16" s="487"/>
      <c r="G16" s="487"/>
      <c r="H16" s="487"/>
      <c r="I16" s="487"/>
      <c r="J16" s="487"/>
    </row>
    <row r="17" spans="1:10" ht="21.95" customHeight="1" x14ac:dyDescent="0.15">
      <c r="A17" s="24" t="s">
        <v>65</v>
      </c>
      <c r="B17" s="475"/>
      <c r="C17" s="476"/>
      <c r="D17" s="11" t="s">
        <v>66</v>
      </c>
      <c r="E17" s="481"/>
      <c r="F17" s="486"/>
      <c r="G17" s="486"/>
      <c r="H17" s="486"/>
      <c r="I17" s="486"/>
      <c r="J17" s="486"/>
    </row>
    <row r="18" spans="1:10" ht="21.95" customHeight="1" x14ac:dyDescent="0.15">
      <c r="A18" s="24" t="s">
        <v>67</v>
      </c>
      <c r="B18" s="475" t="s">
        <v>68</v>
      </c>
      <c r="C18" s="476" t="s">
        <v>69</v>
      </c>
      <c r="D18" s="11" t="s">
        <v>70</v>
      </c>
      <c r="E18" s="480">
        <v>3</v>
      </c>
      <c r="F18" s="485">
        <v>2</v>
      </c>
      <c r="G18" s="485">
        <v>2</v>
      </c>
      <c r="H18" s="485">
        <v>2</v>
      </c>
      <c r="I18" s="485">
        <v>3</v>
      </c>
      <c r="J18" s="485">
        <v>3</v>
      </c>
    </row>
    <row r="19" spans="1:10" ht="21.95" customHeight="1" x14ac:dyDescent="0.15">
      <c r="A19" s="24" t="s">
        <v>71</v>
      </c>
      <c r="B19" s="475"/>
      <c r="C19" s="476"/>
      <c r="D19" s="11" t="s">
        <v>72</v>
      </c>
      <c r="E19" s="482"/>
      <c r="F19" s="487"/>
      <c r="G19" s="487"/>
      <c r="H19" s="487"/>
      <c r="I19" s="487"/>
      <c r="J19" s="487"/>
    </row>
    <row r="20" spans="1:10" ht="21.95" customHeight="1" x14ac:dyDescent="0.15">
      <c r="A20" s="24" t="s">
        <v>73</v>
      </c>
      <c r="B20" s="475"/>
      <c r="C20" s="476"/>
      <c r="D20" s="11" t="s">
        <v>74</v>
      </c>
      <c r="E20" s="482"/>
      <c r="F20" s="487"/>
      <c r="G20" s="487"/>
      <c r="H20" s="487"/>
      <c r="I20" s="487"/>
      <c r="J20" s="487"/>
    </row>
    <row r="21" spans="1:10" ht="21.95" customHeight="1" x14ac:dyDescent="0.15">
      <c r="A21" s="24" t="s">
        <v>75</v>
      </c>
      <c r="B21" s="475"/>
      <c r="C21" s="476"/>
      <c r="D21" s="11" t="s">
        <v>76</v>
      </c>
      <c r="E21" s="482"/>
      <c r="F21" s="487"/>
      <c r="G21" s="487"/>
      <c r="H21" s="487"/>
      <c r="I21" s="487"/>
      <c r="J21" s="487"/>
    </row>
    <row r="22" spans="1:10" ht="21.95" customHeight="1" x14ac:dyDescent="0.15">
      <c r="A22" s="24" t="s">
        <v>77</v>
      </c>
      <c r="B22" s="475"/>
      <c r="C22" s="476"/>
      <c r="D22" s="11" t="s">
        <v>78</v>
      </c>
      <c r="E22" s="481"/>
      <c r="F22" s="486"/>
      <c r="G22" s="486"/>
      <c r="H22" s="486"/>
      <c r="I22" s="486"/>
      <c r="J22" s="486"/>
    </row>
    <row r="23" spans="1:10" ht="21.95" customHeight="1" x14ac:dyDescent="0.15">
      <c r="A23" s="24" t="s">
        <v>79</v>
      </c>
      <c r="B23" s="475"/>
      <c r="C23" s="22" t="s">
        <v>80</v>
      </c>
      <c r="D23" s="11" t="s">
        <v>81</v>
      </c>
      <c r="E23" s="11">
        <v>2</v>
      </c>
      <c r="F23" s="419">
        <v>1</v>
      </c>
      <c r="G23" s="419">
        <v>2</v>
      </c>
      <c r="H23" s="419">
        <v>2</v>
      </c>
      <c r="I23" s="419">
        <v>2</v>
      </c>
      <c r="J23" s="419">
        <v>1</v>
      </c>
    </row>
    <row r="24" spans="1:10" ht="21.95" customHeight="1" x14ac:dyDescent="0.15">
      <c r="A24" s="24" t="s">
        <v>82</v>
      </c>
      <c r="B24" s="475" t="s">
        <v>83</v>
      </c>
      <c r="C24" s="476" t="s">
        <v>83</v>
      </c>
      <c r="D24" s="11" t="s">
        <v>84</v>
      </c>
      <c r="E24" s="480">
        <v>2</v>
      </c>
      <c r="F24" s="485">
        <v>2</v>
      </c>
      <c r="G24" s="485">
        <v>2</v>
      </c>
      <c r="H24" s="485">
        <v>2</v>
      </c>
      <c r="I24" s="485">
        <v>2</v>
      </c>
      <c r="J24" s="485">
        <v>2</v>
      </c>
    </row>
    <row r="25" spans="1:10" ht="21.95" customHeight="1" x14ac:dyDescent="0.15">
      <c r="A25" s="24" t="s">
        <v>85</v>
      </c>
      <c r="B25" s="475"/>
      <c r="C25" s="476"/>
      <c r="D25" s="11" t="s">
        <v>86</v>
      </c>
      <c r="E25" s="481"/>
      <c r="F25" s="486"/>
      <c r="G25" s="486"/>
      <c r="H25" s="486"/>
      <c r="I25" s="486"/>
      <c r="J25" s="486"/>
    </row>
    <row r="26" spans="1:10" ht="21.95" customHeight="1" x14ac:dyDescent="0.15">
      <c r="A26" s="24" t="s">
        <v>87</v>
      </c>
      <c r="B26" s="475"/>
      <c r="C26" s="476" t="s">
        <v>88</v>
      </c>
      <c r="D26" s="11" t="s">
        <v>89</v>
      </c>
      <c r="E26" s="480">
        <v>3</v>
      </c>
      <c r="F26" s="485">
        <v>2</v>
      </c>
      <c r="G26" s="485">
        <v>3</v>
      </c>
      <c r="H26" s="485">
        <v>2</v>
      </c>
      <c r="I26" s="485">
        <v>3</v>
      </c>
      <c r="J26" s="485">
        <v>3</v>
      </c>
    </row>
    <row r="27" spans="1:10" ht="21.95" customHeight="1" x14ac:dyDescent="0.15">
      <c r="A27" s="24" t="s">
        <v>90</v>
      </c>
      <c r="B27" s="475"/>
      <c r="C27" s="476"/>
      <c r="D27" s="11" t="s">
        <v>91</v>
      </c>
      <c r="E27" s="481"/>
      <c r="F27" s="486"/>
      <c r="G27" s="486"/>
      <c r="H27" s="486"/>
      <c r="I27" s="486"/>
      <c r="J27" s="486"/>
    </row>
    <row r="28" spans="1:10" ht="21.95" customHeight="1" x14ac:dyDescent="0.15">
      <c r="A28" s="24" t="s">
        <v>92</v>
      </c>
      <c r="B28" s="475"/>
      <c r="C28" s="22" t="s">
        <v>93</v>
      </c>
      <c r="D28" s="11" t="s">
        <v>94</v>
      </c>
      <c r="E28" s="11">
        <v>2</v>
      </c>
      <c r="F28" s="419">
        <v>3</v>
      </c>
      <c r="G28" s="419">
        <v>2</v>
      </c>
      <c r="H28" s="419">
        <v>3</v>
      </c>
      <c r="I28" s="419">
        <v>2</v>
      </c>
      <c r="J28" s="419">
        <v>3</v>
      </c>
    </row>
    <row r="29" spans="1:10" ht="21.95" customHeight="1" x14ac:dyDescent="0.15">
      <c r="A29" s="24" t="s">
        <v>95</v>
      </c>
      <c r="B29" s="475" t="s">
        <v>96</v>
      </c>
      <c r="C29" s="476" t="s">
        <v>97</v>
      </c>
      <c r="D29" s="11" t="s">
        <v>98</v>
      </c>
      <c r="E29" s="480">
        <v>2</v>
      </c>
      <c r="F29" s="480">
        <v>2</v>
      </c>
      <c r="G29" s="480">
        <v>2</v>
      </c>
      <c r="H29" s="480">
        <v>2</v>
      </c>
      <c r="I29" s="480">
        <v>2</v>
      </c>
      <c r="J29" s="480">
        <v>2</v>
      </c>
    </row>
    <row r="30" spans="1:10" ht="21.95" customHeight="1" x14ac:dyDescent="0.15">
      <c r="A30" s="24" t="s">
        <v>99</v>
      </c>
      <c r="B30" s="475"/>
      <c r="C30" s="476"/>
      <c r="D30" s="11" t="s">
        <v>100</v>
      </c>
      <c r="E30" s="481"/>
      <c r="F30" s="481"/>
      <c r="G30" s="481"/>
      <c r="H30" s="481"/>
      <c r="I30" s="481"/>
      <c r="J30" s="481"/>
    </row>
    <row r="31" spans="1:10" ht="21.95" customHeight="1" x14ac:dyDescent="0.15">
      <c r="A31" s="24" t="s">
        <v>101</v>
      </c>
      <c r="B31" s="475"/>
      <c r="C31" s="476" t="s">
        <v>102</v>
      </c>
      <c r="D31" s="11" t="s">
        <v>103</v>
      </c>
      <c r="E31" s="480">
        <v>2</v>
      </c>
      <c r="F31" s="480">
        <v>1</v>
      </c>
      <c r="G31" s="480">
        <v>2</v>
      </c>
      <c r="H31" s="480">
        <v>1</v>
      </c>
      <c r="I31" s="480">
        <v>2</v>
      </c>
      <c r="J31" s="480">
        <v>1</v>
      </c>
    </row>
    <row r="32" spans="1:10" ht="21.95" customHeight="1" x14ac:dyDescent="0.15">
      <c r="A32" s="24" t="s">
        <v>104</v>
      </c>
      <c r="B32" s="475"/>
      <c r="C32" s="476"/>
      <c r="D32" s="11" t="s">
        <v>105</v>
      </c>
      <c r="E32" s="481"/>
      <c r="F32" s="481"/>
      <c r="G32" s="481"/>
      <c r="H32" s="481"/>
      <c r="I32" s="481"/>
      <c r="J32" s="481"/>
    </row>
    <row r="33" spans="1:10" ht="21.95" customHeight="1" x14ac:dyDescent="0.15">
      <c r="A33" s="24" t="s">
        <v>106</v>
      </c>
      <c r="B33" s="475"/>
      <c r="C33" s="476" t="s">
        <v>107</v>
      </c>
      <c r="D33" s="11" t="s">
        <v>108</v>
      </c>
      <c r="E33" s="480">
        <v>3</v>
      </c>
      <c r="F33" s="480">
        <v>3</v>
      </c>
      <c r="G33" s="480">
        <v>3</v>
      </c>
      <c r="H33" s="480">
        <v>3</v>
      </c>
      <c r="I33" s="480">
        <v>3</v>
      </c>
      <c r="J33" s="480">
        <v>3</v>
      </c>
    </row>
    <row r="34" spans="1:10" ht="21.95" customHeight="1" x14ac:dyDescent="0.15">
      <c r="A34" s="24" t="s">
        <v>109</v>
      </c>
      <c r="B34" s="475"/>
      <c r="C34" s="476"/>
      <c r="D34" s="11" t="s">
        <v>110</v>
      </c>
      <c r="E34" s="481"/>
      <c r="F34" s="481"/>
      <c r="G34" s="481"/>
      <c r="H34" s="481"/>
      <c r="I34" s="481"/>
      <c r="J34" s="481"/>
    </row>
    <row r="35" spans="1:10" ht="21.95" customHeight="1" x14ac:dyDescent="0.15">
      <c r="B35" s="25" t="s">
        <v>111</v>
      </c>
      <c r="C35" s="4" t="s">
        <v>112</v>
      </c>
      <c r="D35" s="26" t="s">
        <v>113</v>
      </c>
      <c r="E35" s="11">
        <f>SUM(E3:E34)</f>
        <v>35</v>
      </c>
      <c r="F35" s="11">
        <f>SUM(F3:F34)</f>
        <v>27</v>
      </c>
      <c r="G35" s="11">
        <f>SUM(G3:G34)</f>
        <v>33</v>
      </c>
      <c r="H35" s="11">
        <f>SUM(H3:H34)</f>
        <v>27</v>
      </c>
      <c r="I35" s="11">
        <f t="shared" ref="I35" si="0">SUM(I3:I34)</f>
        <v>34</v>
      </c>
      <c r="J35" s="11">
        <f>SUM(J3:J34)</f>
        <v>31</v>
      </c>
    </row>
    <row r="36" spans="1:10" ht="21.95" customHeight="1" x14ac:dyDescent="0.15">
      <c r="B36" s="25" t="s">
        <v>114</v>
      </c>
      <c r="C36" s="4" t="s">
        <v>115</v>
      </c>
      <c r="D36" s="46" t="s">
        <v>191</v>
      </c>
      <c r="F36" s="43">
        <f>100/75*F35</f>
        <v>36</v>
      </c>
      <c r="H36" s="43">
        <f>100/75*H35</f>
        <v>36</v>
      </c>
      <c r="J36" s="43">
        <f>100/75*J35</f>
        <v>41.333333333333329</v>
      </c>
    </row>
    <row r="37" spans="1:10" x14ac:dyDescent="0.15">
      <c r="B37" s="25" t="s">
        <v>116</v>
      </c>
      <c r="C37" s="4" t="s">
        <v>117</v>
      </c>
      <c r="D37" s="42"/>
      <c r="E37" s="5"/>
      <c r="F37" s="5"/>
      <c r="G37" s="5"/>
      <c r="H37" s="5"/>
      <c r="I37" s="5"/>
    </row>
    <row r="38" spans="1:10" x14ac:dyDescent="0.15">
      <c r="B38" s="25" t="s">
        <v>118</v>
      </c>
      <c r="C38" s="4" t="s">
        <v>119</v>
      </c>
      <c r="E38" s="5"/>
      <c r="F38" s="5"/>
      <c r="G38" s="5"/>
      <c r="H38" s="5"/>
      <c r="I38" s="5"/>
    </row>
    <row r="39" spans="1:10" x14ac:dyDescent="0.15">
      <c r="B39" s="25" t="s">
        <v>120</v>
      </c>
      <c r="C39" s="4" t="s">
        <v>121</v>
      </c>
    </row>
    <row r="40" spans="1:10" x14ac:dyDescent="0.15">
      <c r="B40" s="25" t="s">
        <v>122</v>
      </c>
      <c r="C40" s="4" t="s">
        <v>123</v>
      </c>
    </row>
  </sheetData>
  <mergeCells count="72">
    <mergeCell ref="E1:F1"/>
    <mergeCell ref="G1:H1"/>
    <mergeCell ref="I1:J1"/>
    <mergeCell ref="H6:H7"/>
    <mergeCell ref="J26:J27"/>
    <mergeCell ref="J29:J30"/>
    <mergeCell ref="J31:J32"/>
    <mergeCell ref="J33:J34"/>
    <mergeCell ref="H18:H22"/>
    <mergeCell ref="H24:H25"/>
    <mergeCell ref="H26:H27"/>
    <mergeCell ref="H29:H30"/>
    <mergeCell ref="H31:H32"/>
    <mergeCell ref="J6:J7"/>
    <mergeCell ref="J9:J14"/>
    <mergeCell ref="J15:J17"/>
    <mergeCell ref="J18:J22"/>
    <mergeCell ref="J24:J25"/>
    <mergeCell ref="H9:H14"/>
    <mergeCell ref="H15:H17"/>
    <mergeCell ref="C33:C34"/>
    <mergeCell ref="F33:F34"/>
    <mergeCell ref="B24:B28"/>
    <mergeCell ref="C24:C25"/>
    <mergeCell ref="F24:F25"/>
    <mergeCell ref="C26:C27"/>
    <mergeCell ref="F26:F27"/>
    <mergeCell ref="B29:B34"/>
    <mergeCell ref="C29:C30"/>
    <mergeCell ref="F29:F30"/>
    <mergeCell ref="C31:C32"/>
    <mergeCell ref="F31:F32"/>
    <mergeCell ref="B15:B17"/>
    <mergeCell ref="C15:C17"/>
    <mergeCell ref="E24:E25"/>
    <mergeCell ref="B3:B4"/>
    <mergeCell ref="B5:B14"/>
    <mergeCell ref="C6:C7"/>
    <mergeCell ref="F6:F7"/>
    <mergeCell ref="C9:C14"/>
    <mergeCell ref="F9:F14"/>
    <mergeCell ref="E6:E7"/>
    <mergeCell ref="E9:E14"/>
    <mergeCell ref="F15:F17"/>
    <mergeCell ref="B18:B23"/>
    <mergeCell ref="C18:C22"/>
    <mergeCell ref="F18:F22"/>
    <mergeCell ref="E15:E17"/>
    <mergeCell ref="E18:E22"/>
    <mergeCell ref="I6:I7"/>
    <mergeCell ref="I9:I14"/>
    <mergeCell ref="I15:I17"/>
    <mergeCell ref="I18:I22"/>
    <mergeCell ref="I24:I25"/>
    <mergeCell ref="G6:G7"/>
    <mergeCell ref="G9:G14"/>
    <mergeCell ref="G15:G17"/>
    <mergeCell ref="G18:G22"/>
    <mergeCell ref="G24:G25"/>
    <mergeCell ref="E26:E27"/>
    <mergeCell ref="E29:E30"/>
    <mergeCell ref="E31:E32"/>
    <mergeCell ref="E33:E34"/>
    <mergeCell ref="I26:I27"/>
    <mergeCell ref="I29:I30"/>
    <mergeCell ref="I31:I32"/>
    <mergeCell ref="I33:I34"/>
    <mergeCell ref="G26:G27"/>
    <mergeCell ref="G29:G30"/>
    <mergeCell ref="G31:G32"/>
    <mergeCell ref="G33:G34"/>
    <mergeCell ref="H33:H34"/>
  </mergeCells>
  <phoneticPr fontId="16"/>
  <pageMargins left="0.7" right="0.7" top="0.75" bottom="0.75" header="0.3" footer="0.3"/>
  <pageSetup paperSize="9" scale="61"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0"/>
  <sheetViews>
    <sheetView zoomScale="85" zoomScaleNormal="85" workbookViewId="0">
      <selection activeCell="E36" sqref="E36"/>
    </sheetView>
  </sheetViews>
  <sheetFormatPr defaultColWidth="8.625" defaultRowHeight="18.75" x14ac:dyDescent="0.15"/>
  <cols>
    <col min="1" max="1" width="7.125" style="4" customWidth="1"/>
    <col min="2" max="2" width="20.625" style="4" customWidth="1"/>
    <col min="3" max="3" width="25.625" style="4" customWidth="1"/>
    <col min="4" max="4" width="120.625" style="4" customWidth="1"/>
    <col min="5" max="5" width="9.5" style="4" bestFit="1" customWidth="1"/>
    <col min="6" max="16384" width="8.625" style="4"/>
  </cols>
  <sheetData>
    <row r="1" spans="1:5" ht="24.95" customHeight="1" x14ac:dyDescent="0.15">
      <c r="A1" s="17"/>
      <c r="B1" s="17" t="s">
        <v>178</v>
      </c>
      <c r="D1" s="19" t="s">
        <v>21</v>
      </c>
      <c r="E1" s="28"/>
    </row>
    <row r="2" spans="1:5" ht="24.95" customHeight="1" x14ac:dyDescent="0.15">
      <c r="A2" s="20" t="s">
        <v>22</v>
      </c>
      <c r="B2" s="21" t="s">
        <v>23</v>
      </c>
      <c r="C2" s="22" t="s">
        <v>24</v>
      </c>
      <c r="D2" s="23" t="s">
        <v>25</v>
      </c>
      <c r="E2" s="20" t="s">
        <v>26</v>
      </c>
    </row>
    <row r="3" spans="1:5" ht="21.95" customHeight="1" x14ac:dyDescent="0.15">
      <c r="A3" s="24" t="s">
        <v>27</v>
      </c>
      <c r="B3" s="475" t="s">
        <v>28</v>
      </c>
      <c r="C3" s="22" t="s">
        <v>29</v>
      </c>
      <c r="D3" s="11" t="s">
        <v>30</v>
      </c>
      <c r="E3" s="11">
        <v>2</v>
      </c>
    </row>
    <row r="4" spans="1:5" ht="21.95" customHeight="1" x14ac:dyDescent="0.15">
      <c r="A4" s="24" t="s">
        <v>31</v>
      </c>
      <c r="B4" s="475"/>
      <c r="C4" s="22" t="s">
        <v>32</v>
      </c>
      <c r="D4" s="11" t="s">
        <v>33</v>
      </c>
      <c r="E4" s="11">
        <v>2</v>
      </c>
    </row>
    <row r="5" spans="1:5" ht="21.95" customHeight="1" x14ac:dyDescent="0.15">
      <c r="A5" s="24" t="s">
        <v>34</v>
      </c>
      <c r="B5" s="475" t="s">
        <v>35</v>
      </c>
      <c r="C5" s="22" t="s">
        <v>36</v>
      </c>
      <c r="D5" s="11" t="s">
        <v>37</v>
      </c>
      <c r="E5" s="11">
        <v>3</v>
      </c>
    </row>
    <row r="6" spans="1:5" ht="21.95" customHeight="1" x14ac:dyDescent="0.15">
      <c r="A6" s="24" t="s">
        <v>38</v>
      </c>
      <c r="B6" s="475"/>
      <c r="C6" s="476" t="s">
        <v>39</v>
      </c>
      <c r="D6" s="11" t="s">
        <v>40</v>
      </c>
      <c r="E6" s="480">
        <v>2</v>
      </c>
    </row>
    <row r="7" spans="1:5" ht="21.95" customHeight="1" x14ac:dyDescent="0.15">
      <c r="A7" s="24" t="s">
        <v>41</v>
      </c>
      <c r="B7" s="475"/>
      <c r="C7" s="476"/>
      <c r="D7" s="11" t="s">
        <v>42</v>
      </c>
      <c r="E7" s="481"/>
    </row>
    <row r="8" spans="1:5" ht="21.95" customHeight="1" x14ac:dyDescent="0.15">
      <c r="A8" s="24" t="s">
        <v>43</v>
      </c>
      <c r="B8" s="475"/>
      <c r="C8" s="22" t="s">
        <v>44</v>
      </c>
      <c r="D8" s="11" t="s">
        <v>45</v>
      </c>
      <c r="E8" s="11">
        <v>3</v>
      </c>
    </row>
    <row r="9" spans="1:5" ht="21.95" customHeight="1" x14ac:dyDescent="0.15">
      <c r="A9" s="24" t="s">
        <v>46</v>
      </c>
      <c r="B9" s="475"/>
      <c r="C9" s="476" t="s">
        <v>47</v>
      </c>
      <c r="D9" s="11" t="s">
        <v>48</v>
      </c>
      <c r="E9" s="480">
        <v>3</v>
      </c>
    </row>
    <row r="10" spans="1:5" ht="21.95" customHeight="1" x14ac:dyDescent="0.15">
      <c r="A10" s="24" t="s">
        <v>49</v>
      </c>
      <c r="B10" s="475"/>
      <c r="C10" s="476"/>
      <c r="D10" s="11" t="s">
        <v>50</v>
      </c>
      <c r="E10" s="482"/>
    </row>
    <row r="11" spans="1:5" ht="21.95" customHeight="1" x14ac:dyDescent="0.15">
      <c r="A11" s="24" t="s">
        <v>51</v>
      </c>
      <c r="B11" s="475"/>
      <c r="C11" s="476"/>
      <c r="D11" s="11" t="s">
        <v>52</v>
      </c>
      <c r="E11" s="482"/>
    </row>
    <row r="12" spans="1:5" ht="21.95" customHeight="1" x14ac:dyDescent="0.15">
      <c r="A12" s="24" t="s">
        <v>53</v>
      </c>
      <c r="B12" s="475"/>
      <c r="C12" s="476"/>
      <c r="D12" s="11" t="s">
        <v>54</v>
      </c>
      <c r="E12" s="482"/>
    </row>
    <row r="13" spans="1:5" ht="21.95" customHeight="1" x14ac:dyDescent="0.15">
      <c r="A13" s="24" t="s">
        <v>55</v>
      </c>
      <c r="B13" s="475"/>
      <c r="C13" s="476"/>
      <c r="D13" s="11" t="s">
        <v>56</v>
      </c>
      <c r="E13" s="482"/>
    </row>
    <row r="14" spans="1:5" ht="21.95" customHeight="1" x14ac:dyDescent="0.15">
      <c r="A14" s="24" t="s">
        <v>57</v>
      </c>
      <c r="B14" s="475"/>
      <c r="C14" s="476"/>
      <c r="D14" s="11" t="s">
        <v>58</v>
      </c>
      <c r="E14" s="481"/>
    </row>
    <row r="15" spans="1:5" ht="21.95" customHeight="1" x14ac:dyDescent="0.15">
      <c r="A15" s="24" t="s">
        <v>59</v>
      </c>
      <c r="B15" s="475" t="s">
        <v>60</v>
      </c>
      <c r="C15" s="476" t="s">
        <v>61</v>
      </c>
      <c r="D15" s="11" t="s">
        <v>62</v>
      </c>
      <c r="E15" s="480">
        <v>3</v>
      </c>
    </row>
    <row r="16" spans="1:5" ht="21.95" customHeight="1" x14ac:dyDescent="0.15">
      <c r="A16" s="24" t="s">
        <v>63</v>
      </c>
      <c r="B16" s="475"/>
      <c r="C16" s="476"/>
      <c r="D16" s="11" t="s">
        <v>64</v>
      </c>
      <c r="E16" s="482"/>
    </row>
    <row r="17" spans="1:5" ht="21.95" customHeight="1" x14ac:dyDescent="0.15">
      <c r="A17" s="24" t="s">
        <v>65</v>
      </c>
      <c r="B17" s="475"/>
      <c r="C17" s="476"/>
      <c r="D17" s="11" t="s">
        <v>66</v>
      </c>
      <c r="E17" s="481"/>
    </row>
    <row r="18" spans="1:5" ht="21.95" customHeight="1" x14ac:dyDescent="0.15">
      <c r="A18" s="24" t="s">
        <v>67</v>
      </c>
      <c r="B18" s="475" t="s">
        <v>68</v>
      </c>
      <c r="C18" s="476" t="s">
        <v>69</v>
      </c>
      <c r="D18" s="11" t="s">
        <v>70</v>
      </c>
      <c r="E18" s="480">
        <v>3</v>
      </c>
    </row>
    <row r="19" spans="1:5" ht="21.95" customHeight="1" x14ac:dyDescent="0.15">
      <c r="A19" s="24" t="s">
        <v>71</v>
      </c>
      <c r="B19" s="475"/>
      <c r="C19" s="476"/>
      <c r="D19" s="11" t="s">
        <v>72</v>
      </c>
      <c r="E19" s="482"/>
    </row>
    <row r="20" spans="1:5" ht="21.95" customHeight="1" x14ac:dyDescent="0.15">
      <c r="A20" s="24" t="s">
        <v>73</v>
      </c>
      <c r="B20" s="475"/>
      <c r="C20" s="476"/>
      <c r="D20" s="11" t="s">
        <v>74</v>
      </c>
      <c r="E20" s="482"/>
    </row>
    <row r="21" spans="1:5" ht="21.95" customHeight="1" x14ac:dyDescent="0.15">
      <c r="A21" s="24" t="s">
        <v>75</v>
      </c>
      <c r="B21" s="475"/>
      <c r="C21" s="476"/>
      <c r="D21" s="11" t="s">
        <v>76</v>
      </c>
      <c r="E21" s="482"/>
    </row>
    <row r="22" spans="1:5" ht="21.95" customHeight="1" x14ac:dyDescent="0.15">
      <c r="A22" s="24" t="s">
        <v>77</v>
      </c>
      <c r="B22" s="475"/>
      <c r="C22" s="476"/>
      <c r="D22" s="11" t="s">
        <v>78</v>
      </c>
      <c r="E22" s="481"/>
    </row>
    <row r="23" spans="1:5" ht="21.95" customHeight="1" x14ac:dyDescent="0.15">
      <c r="A23" s="24" t="s">
        <v>79</v>
      </c>
      <c r="B23" s="475"/>
      <c r="C23" s="22" t="s">
        <v>80</v>
      </c>
      <c r="D23" s="11" t="s">
        <v>81</v>
      </c>
      <c r="E23" s="11">
        <v>3</v>
      </c>
    </row>
    <row r="24" spans="1:5" ht="21.95" customHeight="1" x14ac:dyDescent="0.15">
      <c r="A24" s="24" t="s">
        <v>82</v>
      </c>
      <c r="B24" s="475" t="s">
        <v>83</v>
      </c>
      <c r="C24" s="476" t="s">
        <v>83</v>
      </c>
      <c r="D24" s="11" t="s">
        <v>84</v>
      </c>
      <c r="E24" s="480">
        <v>3</v>
      </c>
    </row>
    <row r="25" spans="1:5" ht="21.95" customHeight="1" x14ac:dyDescent="0.15">
      <c r="A25" s="24" t="s">
        <v>85</v>
      </c>
      <c r="B25" s="475"/>
      <c r="C25" s="476"/>
      <c r="D25" s="11" t="s">
        <v>86</v>
      </c>
      <c r="E25" s="481"/>
    </row>
    <row r="26" spans="1:5" ht="21.95" customHeight="1" x14ac:dyDescent="0.15">
      <c r="A26" s="24" t="s">
        <v>87</v>
      </c>
      <c r="B26" s="475"/>
      <c r="C26" s="476" t="s">
        <v>88</v>
      </c>
      <c r="D26" s="11" t="s">
        <v>89</v>
      </c>
      <c r="E26" s="480">
        <v>3</v>
      </c>
    </row>
    <row r="27" spans="1:5" ht="21.95" customHeight="1" x14ac:dyDescent="0.15">
      <c r="A27" s="24" t="s">
        <v>90</v>
      </c>
      <c r="B27" s="475"/>
      <c r="C27" s="476"/>
      <c r="D27" s="11" t="s">
        <v>91</v>
      </c>
      <c r="E27" s="481"/>
    </row>
    <row r="28" spans="1:5" ht="21.95" customHeight="1" x14ac:dyDescent="0.15">
      <c r="A28" s="24" t="s">
        <v>92</v>
      </c>
      <c r="B28" s="475"/>
      <c r="C28" s="22" t="s">
        <v>93</v>
      </c>
      <c r="D28" s="11" t="s">
        <v>94</v>
      </c>
      <c r="E28" s="11">
        <v>3</v>
      </c>
    </row>
    <row r="29" spans="1:5" ht="21.95" customHeight="1" x14ac:dyDescent="0.15">
      <c r="A29" s="24" t="s">
        <v>95</v>
      </c>
      <c r="B29" s="475" t="s">
        <v>96</v>
      </c>
      <c r="C29" s="476" t="s">
        <v>97</v>
      </c>
      <c r="D29" s="11" t="s">
        <v>98</v>
      </c>
      <c r="E29" s="480">
        <v>2</v>
      </c>
    </row>
    <row r="30" spans="1:5" ht="21.95" customHeight="1" x14ac:dyDescent="0.15">
      <c r="A30" s="24" t="s">
        <v>99</v>
      </c>
      <c r="B30" s="475"/>
      <c r="C30" s="476"/>
      <c r="D30" s="11" t="s">
        <v>100</v>
      </c>
      <c r="E30" s="481"/>
    </row>
    <row r="31" spans="1:5" ht="21.95" customHeight="1" x14ac:dyDescent="0.15">
      <c r="A31" s="24" t="s">
        <v>101</v>
      </c>
      <c r="B31" s="475"/>
      <c r="C31" s="476" t="s">
        <v>102</v>
      </c>
      <c r="D31" s="11" t="s">
        <v>103</v>
      </c>
      <c r="E31" s="480">
        <v>2</v>
      </c>
    </row>
    <row r="32" spans="1:5" ht="21.95" customHeight="1" x14ac:dyDescent="0.15">
      <c r="A32" s="24" t="s">
        <v>104</v>
      </c>
      <c r="B32" s="475"/>
      <c r="C32" s="476"/>
      <c r="D32" s="11" t="s">
        <v>105</v>
      </c>
      <c r="E32" s="481"/>
    </row>
    <row r="33" spans="1:5" ht="21.95" customHeight="1" x14ac:dyDescent="0.15">
      <c r="A33" s="24" t="s">
        <v>106</v>
      </c>
      <c r="B33" s="475"/>
      <c r="C33" s="476" t="s">
        <v>107</v>
      </c>
      <c r="D33" s="11" t="s">
        <v>108</v>
      </c>
      <c r="E33" s="480">
        <v>3</v>
      </c>
    </row>
    <row r="34" spans="1:5" ht="21.95" customHeight="1" x14ac:dyDescent="0.15">
      <c r="A34" s="24" t="s">
        <v>109</v>
      </c>
      <c r="B34" s="475"/>
      <c r="C34" s="476"/>
      <c r="D34" s="11" t="s">
        <v>110</v>
      </c>
      <c r="E34" s="481"/>
    </row>
    <row r="35" spans="1:5" ht="21.95" customHeight="1" x14ac:dyDescent="0.15">
      <c r="B35" s="25" t="s">
        <v>111</v>
      </c>
      <c r="C35" s="4" t="s">
        <v>112</v>
      </c>
      <c r="D35" s="26" t="s">
        <v>113</v>
      </c>
      <c r="E35" s="11">
        <f>SUM(E3:E34)</f>
        <v>40</v>
      </c>
    </row>
    <row r="36" spans="1:5" ht="21.95" customHeight="1" x14ac:dyDescent="0.15">
      <c r="B36" s="25" t="s">
        <v>114</v>
      </c>
      <c r="C36" s="4" t="s">
        <v>115</v>
      </c>
      <c r="D36" s="46" t="s">
        <v>191</v>
      </c>
      <c r="E36" s="43">
        <f>100/75*E35</f>
        <v>53.333333333333329</v>
      </c>
    </row>
    <row r="37" spans="1:5" x14ac:dyDescent="0.15">
      <c r="B37" s="25" t="s">
        <v>116</v>
      </c>
      <c r="C37" s="4" t="s">
        <v>117</v>
      </c>
      <c r="D37" s="42"/>
      <c r="E37" s="5"/>
    </row>
    <row r="38" spans="1:5" x14ac:dyDescent="0.15">
      <c r="B38" s="25" t="s">
        <v>118</v>
      </c>
      <c r="C38" s="4" t="s">
        <v>119</v>
      </c>
      <c r="E38" s="5"/>
    </row>
    <row r="39" spans="1:5" x14ac:dyDescent="0.15">
      <c r="B39" s="25" t="s">
        <v>120</v>
      </c>
      <c r="C39" s="4" t="s">
        <v>121</v>
      </c>
    </row>
    <row r="40" spans="1:5" x14ac:dyDescent="0.15">
      <c r="B40" s="25" t="s">
        <v>122</v>
      </c>
      <c r="C40" s="4" t="s">
        <v>123</v>
      </c>
    </row>
  </sheetData>
  <mergeCells count="24">
    <mergeCell ref="B3:B4"/>
    <mergeCell ref="B5:B14"/>
    <mergeCell ref="C6:C7"/>
    <mergeCell ref="E6:E7"/>
    <mergeCell ref="C9:C14"/>
    <mergeCell ref="E9:E14"/>
    <mergeCell ref="B15:B17"/>
    <mergeCell ref="C15:C17"/>
    <mergeCell ref="E15:E17"/>
    <mergeCell ref="B18:B23"/>
    <mergeCell ref="C18:C22"/>
    <mergeCell ref="E18:E22"/>
    <mergeCell ref="C33:C34"/>
    <mergeCell ref="E33:E34"/>
    <mergeCell ref="B24:B28"/>
    <mergeCell ref="C24:C25"/>
    <mergeCell ref="E24:E25"/>
    <mergeCell ref="C26:C27"/>
    <mergeCell ref="E26:E27"/>
    <mergeCell ref="B29:B34"/>
    <mergeCell ref="C29:C30"/>
    <mergeCell ref="E29:E30"/>
    <mergeCell ref="C31:C32"/>
    <mergeCell ref="E31:E32"/>
  </mergeCells>
  <phoneticPr fontId="16"/>
  <pageMargins left="0.7" right="0.7" top="0.75" bottom="0.75" header="0.3" footer="0.3"/>
  <pageSetup paperSize="9" scale="61"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0"/>
  <sheetViews>
    <sheetView zoomScale="85" zoomScaleNormal="85" workbookViewId="0">
      <selection activeCell="E36" sqref="E36"/>
    </sheetView>
  </sheetViews>
  <sheetFormatPr defaultColWidth="8.625" defaultRowHeight="18.75" x14ac:dyDescent="0.15"/>
  <cols>
    <col min="1" max="1" width="7.125" style="4" customWidth="1"/>
    <col min="2" max="2" width="20.625" style="4" customWidth="1"/>
    <col min="3" max="3" width="25.625" style="4" customWidth="1"/>
    <col min="4" max="4" width="120.625" style="4" customWidth="1"/>
    <col min="5" max="5" width="9.5" style="4" bestFit="1" customWidth="1"/>
    <col min="6" max="16384" width="8.625" style="4"/>
  </cols>
  <sheetData>
    <row r="1" spans="1:5" ht="24.95" customHeight="1" x14ac:dyDescent="0.15">
      <c r="A1" s="17"/>
      <c r="B1" s="17" t="s">
        <v>178</v>
      </c>
      <c r="D1" s="19" t="s">
        <v>21</v>
      </c>
      <c r="E1" s="28"/>
    </row>
    <row r="2" spans="1:5" ht="24.95" customHeight="1" x14ac:dyDescent="0.15">
      <c r="A2" s="20" t="s">
        <v>22</v>
      </c>
      <c r="B2" s="21" t="s">
        <v>23</v>
      </c>
      <c r="C2" s="22" t="s">
        <v>24</v>
      </c>
      <c r="D2" s="23" t="s">
        <v>25</v>
      </c>
      <c r="E2" s="20" t="s">
        <v>26</v>
      </c>
    </row>
    <row r="3" spans="1:5" ht="21.95" customHeight="1" x14ac:dyDescent="0.15">
      <c r="A3" s="24" t="s">
        <v>27</v>
      </c>
      <c r="B3" s="475" t="s">
        <v>28</v>
      </c>
      <c r="C3" s="22" t="s">
        <v>29</v>
      </c>
      <c r="D3" s="11" t="s">
        <v>30</v>
      </c>
      <c r="E3" s="11">
        <v>3</v>
      </c>
    </row>
    <row r="4" spans="1:5" ht="21.95" customHeight="1" x14ac:dyDescent="0.15">
      <c r="A4" s="24" t="s">
        <v>31</v>
      </c>
      <c r="B4" s="475"/>
      <c r="C4" s="22" t="s">
        <v>32</v>
      </c>
      <c r="D4" s="11" t="s">
        <v>33</v>
      </c>
      <c r="E4" s="11">
        <v>2</v>
      </c>
    </row>
    <row r="5" spans="1:5" ht="21.95" customHeight="1" x14ac:dyDescent="0.15">
      <c r="A5" s="24" t="s">
        <v>34</v>
      </c>
      <c r="B5" s="475" t="s">
        <v>35</v>
      </c>
      <c r="C5" s="22" t="s">
        <v>36</v>
      </c>
      <c r="D5" s="11" t="s">
        <v>37</v>
      </c>
      <c r="E5" s="11">
        <v>3</v>
      </c>
    </row>
    <row r="6" spans="1:5" ht="21.95" customHeight="1" x14ac:dyDescent="0.15">
      <c r="A6" s="24" t="s">
        <v>38</v>
      </c>
      <c r="B6" s="475"/>
      <c r="C6" s="476" t="s">
        <v>39</v>
      </c>
      <c r="D6" s="11" t="s">
        <v>40</v>
      </c>
      <c r="E6" s="480">
        <v>1</v>
      </c>
    </row>
    <row r="7" spans="1:5" ht="21.95" customHeight="1" x14ac:dyDescent="0.15">
      <c r="A7" s="24" t="s">
        <v>41</v>
      </c>
      <c r="B7" s="475"/>
      <c r="C7" s="476"/>
      <c r="D7" s="11" t="s">
        <v>42</v>
      </c>
      <c r="E7" s="481"/>
    </row>
    <row r="8" spans="1:5" ht="21.95" customHeight="1" x14ac:dyDescent="0.15">
      <c r="A8" s="24" t="s">
        <v>43</v>
      </c>
      <c r="B8" s="475"/>
      <c r="C8" s="22" t="s">
        <v>44</v>
      </c>
      <c r="D8" s="11" t="s">
        <v>45</v>
      </c>
      <c r="E8" s="11">
        <v>1</v>
      </c>
    </row>
    <row r="9" spans="1:5" ht="21.95" customHeight="1" x14ac:dyDescent="0.15">
      <c r="A9" s="24" t="s">
        <v>46</v>
      </c>
      <c r="B9" s="475"/>
      <c r="C9" s="476" t="s">
        <v>47</v>
      </c>
      <c r="D9" s="11" t="s">
        <v>48</v>
      </c>
      <c r="E9" s="480">
        <v>4</v>
      </c>
    </row>
    <row r="10" spans="1:5" ht="21.95" customHeight="1" x14ac:dyDescent="0.15">
      <c r="A10" s="24" t="s">
        <v>49</v>
      </c>
      <c r="B10" s="475"/>
      <c r="C10" s="476"/>
      <c r="D10" s="11" t="s">
        <v>50</v>
      </c>
      <c r="E10" s="482"/>
    </row>
    <row r="11" spans="1:5" ht="21.95" customHeight="1" x14ac:dyDescent="0.15">
      <c r="A11" s="24" t="s">
        <v>51</v>
      </c>
      <c r="B11" s="475"/>
      <c r="C11" s="476"/>
      <c r="D11" s="11" t="s">
        <v>52</v>
      </c>
      <c r="E11" s="482"/>
    </row>
    <row r="12" spans="1:5" ht="21.95" customHeight="1" x14ac:dyDescent="0.15">
      <c r="A12" s="24" t="s">
        <v>53</v>
      </c>
      <c r="B12" s="475"/>
      <c r="C12" s="476"/>
      <c r="D12" s="11" t="s">
        <v>54</v>
      </c>
      <c r="E12" s="482"/>
    </row>
    <row r="13" spans="1:5" ht="21.95" customHeight="1" x14ac:dyDescent="0.15">
      <c r="A13" s="24" t="s">
        <v>55</v>
      </c>
      <c r="B13" s="475"/>
      <c r="C13" s="476"/>
      <c r="D13" s="11" t="s">
        <v>56</v>
      </c>
      <c r="E13" s="482"/>
    </row>
    <row r="14" spans="1:5" ht="21.95" customHeight="1" x14ac:dyDescent="0.15">
      <c r="A14" s="24" t="s">
        <v>57</v>
      </c>
      <c r="B14" s="475"/>
      <c r="C14" s="476"/>
      <c r="D14" s="11" t="s">
        <v>58</v>
      </c>
      <c r="E14" s="481"/>
    </row>
    <row r="15" spans="1:5" ht="21.95" customHeight="1" x14ac:dyDescent="0.15">
      <c r="A15" s="24" t="s">
        <v>59</v>
      </c>
      <c r="B15" s="475" t="s">
        <v>60</v>
      </c>
      <c r="C15" s="476" t="s">
        <v>61</v>
      </c>
      <c r="D15" s="11" t="s">
        <v>62</v>
      </c>
      <c r="E15" s="480">
        <v>3</v>
      </c>
    </row>
    <row r="16" spans="1:5" ht="21.95" customHeight="1" x14ac:dyDescent="0.15">
      <c r="A16" s="24" t="s">
        <v>63</v>
      </c>
      <c r="B16" s="475"/>
      <c r="C16" s="476"/>
      <c r="D16" s="11" t="s">
        <v>64</v>
      </c>
      <c r="E16" s="482"/>
    </row>
    <row r="17" spans="1:5" ht="21.95" customHeight="1" x14ac:dyDescent="0.15">
      <c r="A17" s="24" t="s">
        <v>65</v>
      </c>
      <c r="B17" s="475"/>
      <c r="C17" s="476"/>
      <c r="D17" s="11" t="s">
        <v>66</v>
      </c>
      <c r="E17" s="481"/>
    </row>
    <row r="18" spans="1:5" ht="21.95" customHeight="1" x14ac:dyDescent="0.15">
      <c r="A18" s="24" t="s">
        <v>67</v>
      </c>
      <c r="B18" s="475" t="s">
        <v>68</v>
      </c>
      <c r="C18" s="476" t="s">
        <v>69</v>
      </c>
      <c r="D18" s="11" t="s">
        <v>70</v>
      </c>
      <c r="E18" s="480">
        <v>2</v>
      </c>
    </row>
    <row r="19" spans="1:5" ht="21.95" customHeight="1" x14ac:dyDescent="0.15">
      <c r="A19" s="24" t="s">
        <v>71</v>
      </c>
      <c r="B19" s="475"/>
      <c r="C19" s="476"/>
      <c r="D19" s="11" t="s">
        <v>72</v>
      </c>
      <c r="E19" s="482"/>
    </row>
    <row r="20" spans="1:5" ht="21.95" customHeight="1" x14ac:dyDescent="0.15">
      <c r="A20" s="24" t="s">
        <v>73</v>
      </c>
      <c r="B20" s="475"/>
      <c r="C20" s="476"/>
      <c r="D20" s="11" t="s">
        <v>74</v>
      </c>
      <c r="E20" s="482"/>
    </row>
    <row r="21" spans="1:5" ht="21.95" customHeight="1" x14ac:dyDescent="0.15">
      <c r="A21" s="24" t="s">
        <v>75</v>
      </c>
      <c r="B21" s="475"/>
      <c r="C21" s="476"/>
      <c r="D21" s="11" t="s">
        <v>76</v>
      </c>
      <c r="E21" s="482"/>
    </row>
    <row r="22" spans="1:5" ht="21.95" customHeight="1" x14ac:dyDescent="0.15">
      <c r="A22" s="24" t="s">
        <v>77</v>
      </c>
      <c r="B22" s="475"/>
      <c r="C22" s="476"/>
      <c r="D22" s="11" t="s">
        <v>78</v>
      </c>
      <c r="E22" s="481"/>
    </row>
    <row r="23" spans="1:5" ht="21.95" customHeight="1" x14ac:dyDescent="0.15">
      <c r="A23" s="24" t="s">
        <v>79</v>
      </c>
      <c r="B23" s="475"/>
      <c r="C23" s="22" t="s">
        <v>80</v>
      </c>
      <c r="D23" s="11" t="s">
        <v>81</v>
      </c>
      <c r="E23" s="11">
        <v>1</v>
      </c>
    </row>
    <row r="24" spans="1:5" ht="21.95" customHeight="1" x14ac:dyDescent="0.15">
      <c r="A24" s="24" t="s">
        <v>82</v>
      </c>
      <c r="B24" s="475" t="s">
        <v>83</v>
      </c>
      <c r="C24" s="476" t="s">
        <v>83</v>
      </c>
      <c r="D24" s="11" t="s">
        <v>84</v>
      </c>
      <c r="E24" s="480">
        <v>3</v>
      </c>
    </row>
    <row r="25" spans="1:5" ht="21.95" customHeight="1" x14ac:dyDescent="0.15">
      <c r="A25" s="24" t="s">
        <v>85</v>
      </c>
      <c r="B25" s="475"/>
      <c r="C25" s="476"/>
      <c r="D25" s="11" t="s">
        <v>86</v>
      </c>
      <c r="E25" s="481"/>
    </row>
    <row r="26" spans="1:5" ht="21.95" customHeight="1" x14ac:dyDescent="0.15">
      <c r="A26" s="24" t="s">
        <v>87</v>
      </c>
      <c r="B26" s="475"/>
      <c r="C26" s="476" t="s">
        <v>88</v>
      </c>
      <c r="D26" s="11" t="s">
        <v>89</v>
      </c>
      <c r="E26" s="480">
        <v>3</v>
      </c>
    </row>
    <row r="27" spans="1:5" ht="21.95" customHeight="1" x14ac:dyDescent="0.15">
      <c r="A27" s="24" t="s">
        <v>90</v>
      </c>
      <c r="B27" s="475"/>
      <c r="C27" s="476"/>
      <c r="D27" s="11" t="s">
        <v>91</v>
      </c>
      <c r="E27" s="481"/>
    </row>
    <row r="28" spans="1:5" ht="21.95" customHeight="1" x14ac:dyDescent="0.15">
      <c r="A28" s="24" t="s">
        <v>92</v>
      </c>
      <c r="B28" s="475"/>
      <c r="C28" s="22" t="s">
        <v>93</v>
      </c>
      <c r="D28" s="11" t="s">
        <v>94</v>
      </c>
      <c r="E28" s="11">
        <v>2</v>
      </c>
    </row>
    <row r="29" spans="1:5" ht="21.95" customHeight="1" x14ac:dyDescent="0.15">
      <c r="A29" s="24" t="s">
        <v>95</v>
      </c>
      <c r="B29" s="475" t="s">
        <v>96</v>
      </c>
      <c r="C29" s="476" t="s">
        <v>97</v>
      </c>
      <c r="D29" s="11" t="s">
        <v>98</v>
      </c>
      <c r="E29" s="480">
        <v>2</v>
      </c>
    </row>
    <row r="30" spans="1:5" ht="21.95" customHeight="1" x14ac:dyDescent="0.15">
      <c r="A30" s="24" t="s">
        <v>99</v>
      </c>
      <c r="B30" s="475"/>
      <c r="C30" s="476"/>
      <c r="D30" s="11" t="s">
        <v>100</v>
      </c>
      <c r="E30" s="481"/>
    </row>
    <row r="31" spans="1:5" ht="21.95" customHeight="1" x14ac:dyDescent="0.15">
      <c r="A31" s="24" t="s">
        <v>101</v>
      </c>
      <c r="B31" s="475"/>
      <c r="C31" s="476" t="s">
        <v>102</v>
      </c>
      <c r="D31" s="11" t="s">
        <v>103</v>
      </c>
      <c r="E31" s="480">
        <v>3</v>
      </c>
    </row>
    <row r="32" spans="1:5" ht="21.95" customHeight="1" x14ac:dyDescent="0.15">
      <c r="A32" s="24" t="s">
        <v>104</v>
      </c>
      <c r="B32" s="475"/>
      <c r="C32" s="476"/>
      <c r="D32" s="11" t="s">
        <v>105</v>
      </c>
      <c r="E32" s="481"/>
    </row>
    <row r="33" spans="1:5" ht="21.95" customHeight="1" x14ac:dyDescent="0.15">
      <c r="A33" s="24" t="s">
        <v>106</v>
      </c>
      <c r="B33" s="475"/>
      <c r="C33" s="476" t="s">
        <v>107</v>
      </c>
      <c r="D33" s="11" t="s">
        <v>108</v>
      </c>
      <c r="E33" s="480">
        <v>3</v>
      </c>
    </row>
    <row r="34" spans="1:5" ht="21.95" customHeight="1" x14ac:dyDescent="0.15">
      <c r="A34" s="24" t="s">
        <v>109</v>
      </c>
      <c r="B34" s="475"/>
      <c r="C34" s="476"/>
      <c r="D34" s="11" t="s">
        <v>110</v>
      </c>
      <c r="E34" s="481"/>
    </row>
    <row r="35" spans="1:5" ht="21.95" customHeight="1" x14ac:dyDescent="0.15">
      <c r="B35" s="25" t="s">
        <v>111</v>
      </c>
      <c r="C35" s="4" t="s">
        <v>112</v>
      </c>
      <c r="D35" s="26" t="s">
        <v>113</v>
      </c>
      <c r="E35" s="11">
        <f>SUM(E3:E34)</f>
        <v>36</v>
      </c>
    </row>
    <row r="36" spans="1:5" ht="21.95" customHeight="1" x14ac:dyDescent="0.15">
      <c r="B36" s="25" t="s">
        <v>114</v>
      </c>
      <c r="C36" s="4" t="s">
        <v>115</v>
      </c>
      <c r="D36" s="46" t="s">
        <v>191</v>
      </c>
      <c r="E36" s="43">
        <f>100/75*E35</f>
        <v>48</v>
      </c>
    </row>
    <row r="37" spans="1:5" x14ac:dyDescent="0.15">
      <c r="B37" s="25" t="s">
        <v>116</v>
      </c>
      <c r="C37" s="4" t="s">
        <v>117</v>
      </c>
      <c r="D37" s="42"/>
      <c r="E37" s="5"/>
    </row>
    <row r="38" spans="1:5" x14ac:dyDescent="0.15">
      <c r="B38" s="25" t="s">
        <v>118</v>
      </c>
      <c r="C38" s="4" t="s">
        <v>119</v>
      </c>
      <c r="E38" s="5"/>
    </row>
    <row r="39" spans="1:5" x14ac:dyDescent="0.15">
      <c r="B39" s="25" t="s">
        <v>120</v>
      </c>
      <c r="C39" s="4" t="s">
        <v>121</v>
      </c>
    </row>
    <row r="40" spans="1:5" x14ac:dyDescent="0.15">
      <c r="B40" s="25" t="s">
        <v>122</v>
      </c>
      <c r="C40" s="4" t="s">
        <v>123</v>
      </c>
    </row>
  </sheetData>
  <mergeCells count="24">
    <mergeCell ref="B3:B4"/>
    <mergeCell ref="B5:B14"/>
    <mergeCell ref="C6:C7"/>
    <mergeCell ref="E6:E7"/>
    <mergeCell ref="C9:C14"/>
    <mergeCell ref="E9:E14"/>
    <mergeCell ref="B15:B17"/>
    <mergeCell ref="C15:C17"/>
    <mergeCell ref="E15:E17"/>
    <mergeCell ref="B18:B23"/>
    <mergeCell ref="C18:C22"/>
    <mergeCell ref="E18:E22"/>
    <mergeCell ref="C33:C34"/>
    <mergeCell ref="E33:E34"/>
    <mergeCell ref="B24:B28"/>
    <mergeCell ref="C24:C25"/>
    <mergeCell ref="E24:E25"/>
    <mergeCell ref="C26:C27"/>
    <mergeCell ref="E26:E27"/>
    <mergeCell ref="B29:B34"/>
    <mergeCell ref="C29:C30"/>
    <mergeCell ref="E29:E30"/>
    <mergeCell ref="C31:C32"/>
    <mergeCell ref="E31:E32"/>
  </mergeCells>
  <phoneticPr fontId="16"/>
  <pageMargins left="0.7" right="0.7" top="0.75" bottom="0.75" header="0.3" footer="0.3"/>
  <pageSetup paperSize="9" scale="6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17</vt:i4>
      </vt:variant>
    </vt:vector>
  </HeadingPairs>
  <TitlesOfParts>
    <vt:vector size="17" baseType="lpstr">
      <vt:lpstr>集計</vt:lpstr>
      <vt:lpstr>営業</vt:lpstr>
      <vt:lpstr>製造部</vt:lpstr>
      <vt:lpstr>製造部 (MGR)</vt:lpstr>
      <vt:lpstr>事業推進</vt:lpstr>
      <vt:lpstr>制作（デ）</vt:lpstr>
      <vt:lpstr>制作（三）</vt:lpstr>
      <vt:lpstr>制作（外）</vt:lpstr>
      <vt:lpstr>進行管理</vt:lpstr>
      <vt:lpstr>総務</vt:lpstr>
      <vt:lpstr>管理職_TGL</vt:lpstr>
      <vt:lpstr>管理職_YGLH</vt:lpstr>
      <vt:lpstr>管理職_MJ</vt:lpstr>
      <vt:lpstr>管理職_MGLH</vt:lpstr>
      <vt:lpstr>管理職_製造</vt:lpstr>
      <vt:lpstr>管理職_IMGER</vt:lpstr>
      <vt:lpstr>管理職_KGL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ishitome.m</dc:creator>
  <cp:lastModifiedBy>Kentaro Ishimitsu -sumai print-</cp:lastModifiedBy>
  <cp:lastPrinted>2025-03-25T09:20:42Z</cp:lastPrinted>
  <dcterms:created xsi:type="dcterms:W3CDTF">2019-06-24T07:37:15Z</dcterms:created>
  <dcterms:modified xsi:type="dcterms:W3CDTF">2025-09-03T02:59:19Z</dcterms:modified>
</cp:coreProperties>
</file>